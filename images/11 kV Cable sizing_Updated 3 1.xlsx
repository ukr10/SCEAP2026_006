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akash k\ADANI\Engineering Deliverables\HT Cable Sizing\Raipur\"/>
    </mc:Choice>
  </mc:AlternateContent>
  <xr:revisionPtr revIDLastSave="0" documentId="13_ncr:1_{EC76C3DA-7CC3-4F4A-A477-CC4AAF7697DF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HT Cable" sheetId="9" r:id="rId1"/>
    <sheet name="BOQ" sheetId="8" r:id="rId2"/>
    <sheet name="Catalogue" sheetId="7" r:id="rId3"/>
  </sheets>
  <definedNames>
    <definedName name="_1C" localSheetId="2">#REF!+Catalogue!$I$7:$I$13</definedName>
    <definedName name="_1C" localSheetId="0">'HT Cable'!#REF!</definedName>
    <definedName name="_xlnm._FilterDatabase" localSheetId="0" hidden="1">'HT Cable'!$A$6:$AL$95</definedName>
    <definedName name="_Toc531015269" localSheetId="2">Catalogue!$J$16</definedName>
    <definedName name="_Toc531015271" localSheetId="2">Catalogue!$K$16</definedName>
    <definedName name="_Toc531015272" localSheetId="2">Catalogue!$L$16</definedName>
    <definedName name="_Toc531015273" localSheetId="2">Catalogue!$M$16</definedName>
    <definedName name="_Toc531015274" localSheetId="2">Catalogue!$N$16</definedName>
    <definedName name="_Toc531015275" localSheetId="2">Catalogue!$J$17</definedName>
    <definedName name="_Toc531015277" localSheetId="2">Catalogue!$K$17</definedName>
    <definedName name="_Toc531015278" localSheetId="2">Catalogue!$L$17</definedName>
    <definedName name="_Toc531015279" localSheetId="2">Catalogue!$M$17</definedName>
    <definedName name="_Toc531015280" localSheetId="2">Catalogue!$N$17</definedName>
    <definedName name="_Toc531015281" localSheetId="2">Catalogue!$J$18</definedName>
    <definedName name="_Toc531015283" localSheetId="2">Catalogue!$K$18</definedName>
    <definedName name="_Toc531015284" localSheetId="2">Catalogue!$L$18</definedName>
    <definedName name="_Toc531015285" localSheetId="2">Catalogue!$M$18</definedName>
    <definedName name="_Toc531015286" localSheetId="2">Catalogue!$N$18</definedName>
    <definedName name="_Toc531015287" localSheetId="2">Catalogue!$J$19</definedName>
    <definedName name="_Toc531015289" localSheetId="2">Catalogue!$K$19</definedName>
    <definedName name="_Toc531015290" localSheetId="2">Catalogue!$L$19</definedName>
    <definedName name="_Toc531015291" localSheetId="2">Catalogue!$M$19</definedName>
    <definedName name="_Toc531015292" localSheetId="2">Catalogue!$N$19</definedName>
    <definedName name="_Toc531015293" localSheetId="2">Catalogue!$J$20</definedName>
    <definedName name="_Toc531015295" localSheetId="2">Catalogue!$K$20</definedName>
    <definedName name="_Toc531015296" localSheetId="2">Catalogue!$L$20</definedName>
    <definedName name="_Toc531015297" localSheetId="2">Catalogue!$M$20</definedName>
    <definedName name="_Toc531015298" localSheetId="2">Catalogue!$N$20</definedName>
    <definedName name="MRNO">#REF!</definedName>
    <definedName name="_xlnm.Print_Area" localSheetId="1">BOQ!$A$1:$G$87</definedName>
    <definedName name="_xlnm.Print_Area" localSheetId="2">Catalogue!$A$1:$X$40</definedName>
    <definedName name="_xlnm.Print_Area" localSheetId="0">'HT Cable'!$A$1:$AM$97</definedName>
    <definedName name="_xlnm.Print_Titles" localSheetId="0">'HT Cable'!$1:$6</definedName>
    <definedName name="Q23P_RFQ">#REF!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1" i="9" l="1"/>
  <c r="K84" i="9"/>
  <c r="J84" i="9"/>
  <c r="I84" i="9"/>
  <c r="N84" i="9"/>
  <c r="AB84" i="9"/>
  <c r="AH84" i="9"/>
  <c r="AI84" i="9"/>
  <c r="AJ84" i="9"/>
  <c r="AL96" i="9"/>
  <c r="AJ96" i="9"/>
  <c r="AI96" i="9"/>
  <c r="AH96" i="9"/>
  <c r="AE96" i="9"/>
  <c r="AF96" i="9" s="1"/>
  <c r="AG96" i="9" s="1"/>
  <c r="AK96" i="9" s="1"/>
  <c r="AD96" i="9"/>
  <c r="AC96" i="9"/>
  <c r="AB96" i="9"/>
  <c r="N96" i="9"/>
  <c r="K96" i="9"/>
  <c r="J96" i="9"/>
  <c r="I96" i="9"/>
  <c r="AC84" i="9" l="1"/>
  <c r="AD84" i="9" s="1"/>
  <c r="AE84" i="9"/>
  <c r="AF84" i="9" s="1"/>
  <c r="AG84" i="9" s="1"/>
  <c r="AK84" i="9" s="1"/>
  <c r="AJ79" i="9"/>
  <c r="AJ80" i="9"/>
  <c r="AI79" i="9"/>
  <c r="AI80" i="9"/>
  <c r="AH79" i="9"/>
  <c r="AH80" i="9"/>
  <c r="AB79" i="9"/>
  <c r="AB80" i="9"/>
  <c r="N79" i="9"/>
  <c r="N80" i="9"/>
  <c r="K79" i="9"/>
  <c r="K80" i="9"/>
  <c r="J79" i="9"/>
  <c r="J80" i="9"/>
  <c r="I79" i="9"/>
  <c r="AC79" i="9" s="1"/>
  <c r="AE79" i="9" s="1"/>
  <c r="AF79" i="9" s="1"/>
  <c r="AG79" i="9" s="1"/>
  <c r="I80" i="9"/>
  <c r="AC80" i="9" s="1"/>
  <c r="AD80" i="9" s="1"/>
  <c r="AL84" i="9" l="1"/>
  <c r="AD79" i="9"/>
  <c r="AK79" i="9" s="1"/>
  <c r="AE80" i="9"/>
  <c r="AF80" i="9" s="1"/>
  <c r="AG80" i="9" s="1"/>
  <c r="AK80" i="9" s="1"/>
  <c r="AL79" i="9"/>
  <c r="AL80" i="9"/>
  <c r="AJ56" i="9"/>
  <c r="AI56" i="9"/>
  <c r="AH56" i="9"/>
  <c r="AB56" i="9"/>
  <c r="N56" i="9"/>
  <c r="K56" i="9"/>
  <c r="J56" i="9"/>
  <c r="I56" i="9"/>
  <c r="AJ28" i="9"/>
  <c r="AI28" i="9"/>
  <c r="AH28" i="9"/>
  <c r="AB28" i="9"/>
  <c r="N28" i="9"/>
  <c r="K28" i="9"/>
  <c r="J28" i="9"/>
  <c r="I28" i="9"/>
  <c r="AC56" i="9" l="1"/>
  <c r="AL56" i="9" s="1"/>
  <c r="AC28" i="9"/>
  <c r="AD28" i="9" s="1"/>
  <c r="AE56" i="9"/>
  <c r="AF56" i="9" s="1"/>
  <c r="AG56" i="9" s="1"/>
  <c r="AE28" i="9"/>
  <c r="AF28" i="9" s="1"/>
  <c r="AG28" i="9" s="1"/>
  <c r="AL28" i="9" l="1"/>
  <c r="AD56" i="9"/>
  <c r="AK56" i="9" s="1"/>
  <c r="AK28" i="9"/>
  <c r="J15" i="8" l="1"/>
  <c r="J16" i="8"/>
  <c r="J29" i="8"/>
  <c r="J43" i="8"/>
  <c r="J44" i="8"/>
  <c r="J57" i="8"/>
  <c r="J71" i="8"/>
  <c r="J72" i="8"/>
  <c r="J85" i="8"/>
  <c r="J86" i="8"/>
  <c r="J87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2" i="8" l="1"/>
  <c r="AN22" i="9"/>
  <c r="AN36" i="9"/>
  <c r="AN51" i="9"/>
  <c r="AN65" i="9"/>
  <c r="AN82" i="9"/>
  <c r="N95" i="9"/>
  <c r="K95" i="9"/>
  <c r="J95" i="9"/>
  <c r="I95" i="9"/>
  <c r="N94" i="9"/>
  <c r="K94" i="9"/>
  <c r="J94" i="9"/>
  <c r="I94" i="9"/>
  <c r="N93" i="9"/>
  <c r="K93" i="9"/>
  <c r="J93" i="9"/>
  <c r="I93" i="9"/>
  <c r="N92" i="9"/>
  <c r="K92" i="9"/>
  <c r="J92" i="9"/>
  <c r="I92" i="9"/>
  <c r="N91" i="9"/>
  <c r="K91" i="9"/>
  <c r="J91" i="9"/>
  <c r="I91" i="9"/>
  <c r="N88" i="9"/>
  <c r="K88" i="9"/>
  <c r="J88" i="9"/>
  <c r="I88" i="9"/>
  <c r="N87" i="9"/>
  <c r="K87" i="9"/>
  <c r="J87" i="9"/>
  <c r="I87" i="9"/>
  <c r="N86" i="9"/>
  <c r="K86" i="9"/>
  <c r="J86" i="9"/>
  <c r="I86" i="9"/>
  <c r="N85" i="9"/>
  <c r="K85" i="9"/>
  <c r="J85" i="9"/>
  <c r="I85" i="9"/>
  <c r="N83" i="9"/>
  <c r="K83" i="9"/>
  <c r="J83" i="9"/>
  <c r="I83" i="9"/>
  <c r="N77" i="9"/>
  <c r="K77" i="9"/>
  <c r="J77" i="9"/>
  <c r="I77" i="9"/>
  <c r="N76" i="9"/>
  <c r="K76" i="9"/>
  <c r="J76" i="9"/>
  <c r="I76" i="9"/>
  <c r="N75" i="9"/>
  <c r="K75" i="9"/>
  <c r="J75" i="9"/>
  <c r="I75" i="9"/>
  <c r="N73" i="9"/>
  <c r="K73" i="9"/>
  <c r="J73" i="9"/>
  <c r="I73" i="9"/>
  <c r="I74" i="9"/>
  <c r="J74" i="9"/>
  <c r="K74" i="9"/>
  <c r="N74" i="9"/>
  <c r="N72" i="9"/>
  <c r="K72" i="9"/>
  <c r="J72" i="9"/>
  <c r="I72" i="9"/>
  <c r="N71" i="9"/>
  <c r="K71" i="9"/>
  <c r="J71" i="9"/>
  <c r="I71" i="9"/>
  <c r="N69" i="9"/>
  <c r="K69" i="9"/>
  <c r="J69" i="9"/>
  <c r="I69" i="9"/>
  <c r="N67" i="9"/>
  <c r="K67" i="9"/>
  <c r="J67" i="9"/>
  <c r="I67" i="9"/>
  <c r="N66" i="9"/>
  <c r="K66" i="9"/>
  <c r="I66" i="9"/>
  <c r="J66" i="9" s="1"/>
  <c r="N63" i="9"/>
  <c r="K63" i="9"/>
  <c r="J63" i="9"/>
  <c r="I63" i="9"/>
  <c r="N62" i="9"/>
  <c r="K62" i="9"/>
  <c r="J62" i="9"/>
  <c r="I62" i="9"/>
  <c r="N61" i="9"/>
  <c r="K61" i="9"/>
  <c r="J61" i="9"/>
  <c r="I61" i="9"/>
  <c r="N60" i="9"/>
  <c r="K60" i="9"/>
  <c r="J60" i="9"/>
  <c r="I60" i="9"/>
  <c r="N59" i="9"/>
  <c r="K59" i="9"/>
  <c r="J59" i="9"/>
  <c r="I59" i="9"/>
  <c r="N58" i="9"/>
  <c r="K58" i="9"/>
  <c r="J58" i="9"/>
  <c r="I58" i="9"/>
  <c r="N57" i="9"/>
  <c r="K57" i="9"/>
  <c r="J57" i="9"/>
  <c r="I57" i="9"/>
  <c r="N55" i="9"/>
  <c r="K55" i="9"/>
  <c r="I55" i="9"/>
  <c r="J55" i="9" s="1"/>
  <c r="N54" i="9"/>
  <c r="K54" i="9"/>
  <c r="I54" i="9"/>
  <c r="J54" i="9" s="1"/>
  <c r="N53" i="9"/>
  <c r="K53" i="9"/>
  <c r="I53" i="9"/>
  <c r="J53" i="9" s="1"/>
  <c r="N52" i="9"/>
  <c r="K52" i="9"/>
  <c r="I52" i="9"/>
  <c r="J52" i="9" s="1"/>
  <c r="N49" i="9"/>
  <c r="K49" i="9"/>
  <c r="J49" i="9"/>
  <c r="I49" i="9"/>
  <c r="N48" i="9"/>
  <c r="K48" i="9"/>
  <c r="J48" i="9"/>
  <c r="I48" i="9"/>
  <c r="N47" i="9"/>
  <c r="K47" i="9"/>
  <c r="J47" i="9"/>
  <c r="I47" i="9"/>
  <c r="N46" i="9"/>
  <c r="K46" i="9"/>
  <c r="J46" i="9"/>
  <c r="I46" i="9"/>
  <c r="N45" i="9"/>
  <c r="K45" i="9"/>
  <c r="J45" i="9"/>
  <c r="I45" i="9"/>
  <c r="N44" i="9"/>
  <c r="K44" i="9"/>
  <c r="J44" i="9"/>
  <c r="I44" i="9"/>
  <c r="N43" i="9"/>
  <c r="K43" i="9"/>
  <c r="J43" i="9"/>
  <c r="I43" i="9"/>
  <c r="N42" i="9"/>
  <c r="K42" i="9"/>
  <c r="J42" i="9"/>
  <c r="I42" i="9"/>
  <c r="N41" i="9"/>
  <c r="K41" i="9"/>
  <c r="I41" i="9"/>
  <c r="J41" i="9" s="1"/>
  <c r="N40" i="9"/>
  <c r="K40" i="9"/>
  <c r="I40" i="9"/>
  <c r="J40" i="9" s="1"/>
  <c r="N39" i="9"/>
  <c r="K39" i="9"/>
  <c r="I39" i="9"/>
  <c r="J39" i="9" s="1"/>
  <c r="N38" i="9"/>
  <c r="K38" i="9"/>
  <c r="I38" i="9"/>
  <c r="J38" i="9" s="1"/>
  <c r="N37" i="9"/>
  <c r="K37" i="9"/>
  <c r="I37" i="9"/>
  <c r="J37" i="9" s="1"/>
  <c r="N34" i="9"/>
  <c r="K34" i="9"/>
  <c r="J34" i="9"/>
  <c r="I34" i="9"/>
  <c r="N33" i="9"/>
  <c r="K33" i="9"/>
  <c r="J33" i="9"/>
  <c r="I33" i="9"/>
  <c r="N32" i="9"/>
  <c r="K32" i="9"/>
  <c r="J32" i="9"/>
  <c r="I32" i="9"/>
  <c r="N31" i="9"/>
  <c r="K31" i="9"/>
  <c r="J31" i="9"/>
  <c r="I31" i="9"/>
  <c r="N30" i="9"/>
  <c r="K30" i="9"/>
  <c r="J30" i="9"/>
  <c r="I30" i="9"/>
  <c r="AJ95" i="9"/>
  <c r="AI95" i="9"/>
  <c r="AH95" i="9"/>
  <c r="AJ94" i="9"/>
  <c r="AI94" i="9"/>
  <c r="AH94" i="9"/>
  <c r="AJ93" i="9"/>
  <c r="AI93" i="9"/>
  <c r="AH93" i="9"/>
  <c r="AJ92" i="9"/>
  <c r="AI92" i="9"/>
  <c r="AH92" i="9"/>
  <c r="AJ91" i="9"/>
  <c r="AI91" i="9"/>
  <c r="AH91" i="9"/>
  <c r="AJ90" i="9"/>
  <c r="AI90" i="9"/>
  <c r="AH90" i="9"/>
  <c r="N90" i="9"/>
  <c r="K90" i="9"/>
  <c r="J90" i="9"/>
  <c r="I90" i="9"/>
  <c r="AJ89" i="9"/>
  <c r="AI89" i="9"/>
  <c r="AH89" i="9"/>
  <c r="N89" i="9"/>
  <c r="K89" i="9"/>
  <c r="J89" i="9"/>
  <c r="I89" i="9"/>
  <c r="AJ88" i="9"/>
  <c r="AI88" i="9"/>
  <c r="AH88" i="9"/>
  <c r="AJ87" i="9"/>
  <c r="AI87" i="9"/>
  <c r="AH87" i="9"/>
  <c r="AJ86" i="9"/>
  <c r="AI86" i="9"/>
  <c r="AH86" i="9"/>
  <c r="AJ85" i="9"/>
  <c r="AI85" i="9"/>
  <c r="AH85" i="9"/>
  <c r="AJ83" i="9"/>
  <c r="AI83" i="9"/>
  <c r="AH83" i="9"/>
  <c r="AJ78" i="9"/>
  <c r="AI78" i="9"/>
  <c r="AH78" i="9"/>
  <c r="N78" i="9"/>
  <c r="K78" i="9"/>
  <c r="J78" i="9"/>
  <c r="I78" i="9"/>
  <c r="AJ77" i="9"/>
  <c r="AI77" i="9"/>
  <c r="AH77" i="9"/>
  <c r="AJ76" i="9"/>
  <c r="AI76" i="9"/>
  <c r="AH76" i="9"/>
  <c r="AJ75" i="9"/>
  <c r="AI75" i="9"/>
  <c r="AH75" i="9"/>
  <c r="AJ74" i="9"/>
  <c r="AI74" i="9"/>
  <c r="AH74" i="9"/>
  <c r="AJ73" i="9"/>
  <c r="AI73" i="9"/>
  <c r="AH73" i="9"/>
  <c r="AJ72" i="9"/>
  <c r="AI72" i="9"/>
  <c r="AH72" i="9"/>
  <c r="AJ71" i="9"/>
  <c r="AI71" i="9"/>
  <c r="AH71" i="9"/>
  <c r="AJ70" i="9"/>
  <c r="AI70" i="9"/>
  <c r="AH70" i="9"/>
  <c r="N70" i="9"/>
  <c r="K70" i="9"/>
  <c r="J70" i="9"/>
  <c r="I70" i="9"/>
  <c r="AJ69" i="9"/>
  <c r="AI69" i="9"/>
  <c r="AH69" i="9"/>
  <c r="AJ68" i="9"/>
  <c r="AI68" i="9"/>
  <c r="AH68" i="9"/>
  <c r="N68" i="9"/>
  <c r="K68" i="9"/>
  <c r="J68" i="9"/>
  <c r="I68" i="9"/>
  <c r="AJ67" i="9"/>
  <c r="AI67" i="9"/>
  <c r="AH67" i="9"/>
  <c r="AJ60" i="9"/>
  <c r="AI60" i="9"/>
  <c r="AH60" i="9"/>
  <c r="AJ59" i="9"/>
  <c r="AI59" i="9"/>
  <c r="AH59" i="9"/>
  <c r="AJ58" i="9"/>
  <c r="AI58" i="9"/>
  <c r="AH58" i="9"/>
  <c r="AJ57" i="9"/>
  <c r="AI57" i="9"/>
  <c r="AH57" i="9"/>
  <c r="AJ44" i="9"/>
  <c r="AI44" i="9"/>
  <c r="AH44" i="9"/>
  <c r="AJ43" i="9"/>
  <c r="AI43" i="9"/>
  <c r="AH43" i="9"/>
  <c r="AJ42" i="9"/>
  <c r="AI42" i="9"/>
  <c r="AH42" i="9"/>
  <c r="AJ31" i="9"/>
  <c r="AI31" i="9"/>
  <c r="AH31" i="9"/>
  <c r="AJ30" i="9"/>
  <c r="AI30" i="9"/>
  <c r="AH30" i="9"/>
  <c r="AJ29" i="9"/>
  <c r="AI29" i="9"/>
  <c r="AH29" i="9"/>
  <c r="N29" i="9"/>
  <c r="K29" i="9"/>
  <c r="J29" i="9"/>
  <c r="I29" i="9"/>
  <c r="AJ27" i="9"/>
  <c r="AI27" i="9"/>
  <c r="AH27" i="9"/>
  <c r="N27" i="9"/>
  <c r="K27" i="9"/>
  <c r="J27" i="9"/>
  <c r="I27" i="9"/>
  <c r="N26" i="9"/>
  <c r="K26" i="9"/>
  <c r="I26" i="9"/>
  <c r="J26" i="9" s="1"/>
  <c r="N25" i="9"/>
  <c r="K25" i="9"/>
  <c r="I25" i="9"/>
  <c r="J25" i="9" s="1"/>
  <c r="N24" i="9"/>
  <c r="K24" i="9"/>
  <c r="I24" i="9"/>
  <c r="J24" i="9" s="1"/>
  <c r="N23" i="9"/>
  <c r="K23" i="9"/>
  <c r="I23" i="9"/>
  <c r="J23" i="9" s="1"/>
  <c r="N20" i="9"/>
  <c r="K20" i="9"/>
  <c r="I20" i="9"/>
  <c r="N19" i="9"/>
  <c r="K19" i="9"/>
  <c r="I19" i="9"/>
  <c r="N18" i="9"/>
  <c r="K18" i="9"/>
  <c r="I18" i="9"/>
  <c r="N17" i="9"/>
  <c r="K17" i="9"/>
  <c r="I17" i="9"/>
  <c r="J17" i="9" s="1"/>
  <c r="N16" i="9"/>
  <c r="K16" i="9"/>
  <c r="I16" i="9"/>
  <c r="J16" i="9" s="1"/>
  <c r="AJ15" i="9"/>
  <c r="AI15" i="9"/>
  <c r="AH15" i="9"/>
  <c r="N15" i="9"/>
  <c r="K15" i="9"/>
  <c r="J15" i="9"/>
  <c r="I15" i="9"/>
  <c r="AJ14" i="9"/>
  <c r="AI14" i="9"/>
  <c r="AH14" i="9"/>
  <c r="N14" i="9"/>
  <c r="K14" i="9"/>
  <c r="J14" i="9"/>
  <c r="I14" i="9"/>
  <c r="AJ13" i="9"/>
  <c r="AI13" i="9"/>
  <c r="AH13" i="9"/>
  <c r="N13" i="9"/>
  <c r="K13" i="9"/>
  <c r="J13" i="9"/>
  <c r="I13" i="9"/>
  <c r="N12" i="9"/>
  <c r="K12" i="9"/>
  <c r="I12" i="9"/>
  <c r="N11" i="9"/>
  <c r="K11" i="9"/>
  <c r="I11" i="9"/>
  <c r="N10" i="9"/>
  <c r="K10" i="9"/>
  <c r="I10" i="9"/>
  <c r="N9" i="9"/>
  <c r="K9" i="9"/>
  <c r="I9" i="9"/>
  <c r="N8" i="9"/>
  <c r="K8" i="9"/>
  <c r="I8" i="9"/>
  <c r="J8" i="9" s="1"/>
  <c r="AB48" i="9" l="1"/>
  <c r="AC48" i="9" s="1"/>
  <c r="AN48" i="9" s="1"/>
  <c r="AB16" i="9"/>
  <c r="AC16" i="9" s="1"/>
  <c r="AN16" i="9" s="1"/>
  <c r="AB29" i="9"/>
  <c r="AC29" i="9" s="1"/>
  <c r="AB43" i="9"/>
  <c r="AC43" i="9" s="1"/>
  <c r="AN43" i="9" s="1"/>
  <c r="AB17" i="9"/>
  <c r="AC17" i="9" s="1"/>
  <c r="AN17" i="9" s="1"/>
  <c r="AB9" i="9"/>
  <c r="AC9" i="9" s="1"/>
  <c r="AB14" i="9"/>
  <c r="AC14" i="9" s="1"/>
  <c r="AB23" i="9"/>
  <c r="AC23" i="9" s="1"/>
  <c r="AN23" i="9" s="1"/>
  <c r="AB8" i="9"/>
  <c r="AB69" i="9"/>
  <c r="AC69" i="9" s="1"/>
  <c r="AN69" i="9" s="1"/>
  <c r="AB73" i="9"/>
  <c r="AB85" i="9"/>
  <c r="AB66" i="9"/>
  <c r="AB13" i="9"/>
  <c r="AC13" i="9" s="1"/>
  <c r="AB59" i="9"/>
  <c r="AC59" i="9" s="1"/>
  <c r="AN59" i="9" s="1"/>
  <c r="AB58" i="9"/>
  <c r="AC58" i="9" s="1"/>
  <c r="AN58" i="9" s="1"/>
  <c r="AB53" i="9"/>
  <c r="AC53" i="9" s="1"/>
  <c r="AN53" i="9" s="1"/>
  <c r="AB39" i="9"/>
  <c r="AN39" i="9" s="1"/>
  <c r="AB75" i="9"/>
  <c r="AB31" i="9"/>
  <c r="AC31" i="9" s="1"/>
  <c r="AN31" i="9" s="1"/>
  <c r="AB40" i="9"/>
  <c r="AB24" i="9"/>
  <c r="AC24" i="9" s="1"/>
  <c r="AB30" i="9"/>
  <c r="AC30" i="9" s="1"/>
  <c r="AB68" i="9"/>
  <c r="AB83" i="9"/>
  <c r="AC83" i="9" s="1"/>
  <c r="AB15" i="9"/>
  <c r="AC15" i="9" s="1"/>
  <c r="AN15" i="9" s="1"/>
  <c r="AB47" i="9"/>
  <c r="AH47" i="9" s="1"/>
  <c r="AI47" i="9" s="1"/>
  <c r="AJ47" i="9" s="1"/>
  <c r="AB52" i="9"/>
  <c r="AC52" i="9" s="1"/>
  <c r="AB93" i="9"/>
  <c r="AB74" i="9"/>
  <c r="AB42" i="9"/>
  <c r="AB90" i="9"/>
  <c r="AC90" i="9" s="1"/>
  <c r="AN90" i="9" s="1"/>
  <c r="AH62" i="9"/>
  <c r="AI62" i="9" s="1"/>
  <c r="AJ62" i="9" s="1"/>
  <c r="AB87" i="9"/>
  <c r="AC87" i="9" s="1"/>
  <c r="AN87" i="9" s="1"/>
  <c r="AB91" i="9"/>
  <c r="AB19" i="9"/>
  <c r="AB37" i="9"/>
  <c r="AB41" i="9"/>
  <c r="AB46" i="9"/>
  <c r="AB49" i="9"/>
  <c r="AB62" i="9"/>
  <c r="AC62" i="9" s="1"/>
  <c r="AN62" i="9" s="1"/>
  <c r="AB72" i="9"/>
  <c r="AC72" i="9" s="1"/>
  <c r="AN72" i="9" s="1"/>
  <c r="AB38" i="9"/>
  <c r="AC38" i="9" s="1"/>
  <c r="AN38" i="9" s="1"/>
  <c r="AB61" i="9"/>
  <c r="AC61" i="9" s="1"/>
  <c r="AN61" i="9" s="1"/>
  <c r="AB63" i="9"/>
  <c r="AC63" i="9" s="1"/>
  <c r="AN63" i="9" s="1"/>
  <c r="AB77" i="9"/>
  <c r="AB89" i="9"/>
  <c r="AH46" i="9"/>
  <c r="AI46" i="9" s="1"/>
  <c r="AJ46" i="9" s="1"/>
  <c r="AB32" i="9"/>
  <c r="AB67" i="9"/>
  <c r="AC67" i="9" s="1"/>
  <c r="AN67" i="9" s="1"/>
  <c r="AB70" i="9"/>
  <c r="AC70" i="9" s="1"/>
  <c r="AN70" i="9" s="1"/>
  <c r="AB18" i="9"/>
  <c r="AB55" i="9"/>
  <c r="AC55" i="9" s="1"/>
  <c r="AN55" i="9" s="1"/>
  <c r="AB34" i="9"/>
  <c r="AC34" i="9" s="1"/>
  <c r="AB57" i="9"/>
  <c r="AB60" i="9"/>
  <c r="AC60" i="9" s="1"/>
  <c r="AN60" i="9" s="1"/>
  <c r="AB86" i="9"/>
  <c r="AB54" i="9"/>
  <c r="AN54" i="9" s="1"/>
  <c r="AH49" i="9"/>
  <c r="AI49" i="9" s="1"/>
  <c r="AJ49" i="9" s="1"/>
  <c r="AB20" i="9"/>
  <c r="AC20" i="9" s="1"/>
  <c r="AN20" i="9" s="1"/>
  <c r="AB71" i="9"/>
  <c r="AB88" i="9"/>
  <c r="AB33" i="9"/>
  <c r="AC33" i="9" s="1"/>
  <c r="AN33" i="9" s="1"/>
  <c r="AB45" i="9"/>
  <c r="AC45" i="9" s="1"/>
  <c r="AN45" i="9" s="1"/>
  <c r="AB92" i="9"/>
  <c r="AC92" i="9" s="1"/>
  <c r="AN92" i="9" s="1"/>
  <c r="AB27" i="9"/>
  <c r="AB26" i="9"/>
  <c r="AC26" i="9" s="1"/>
  <c r="AN26" i="9" s="1"/>
  <c r="J10" i="9"/>
  <c r="AB25" i="9"/>
  <c r="AN25" i="9" s="1"/>
  <c r="J9" i="9"/>
  <c r="AB12" i="9"/>
  <c r="AN12" i="9" s="1"/>
  <c r="J12" i="9"/>
  <c r="AB11" i="9"/>
  <c r="AC11" i="9" s="1"/>
  <c r="J11" i="9"/>
  <c r="AB10" i="9"/>
  <c r="AN10" i="9" s="1"/>
  <c r="J18" i="9"/>
  <c r="AH18" i="9" s="1"/>
  <c r="AI18" i="9" s="1"/>
  <c r="AJ18" i="9" s="1"/>
  <c r="AB44" i="9"/>
  <c r="AC44" i="9" s="1"/>
  <c r="AN44" i="9" s="1"/>
  <c r="AB76" i="9"/>
  <c r="AN76" i="9" s="1"/>
  <c r="AB78" i="9"/>
  <c r="AN78" i="9" s="1"/>
  <c r="AB95" i="9"/>
  <c r="AH33" i="9"/>
  <c r="AI33" i="9" s="1"/>
  <c r="AJ33" i="9" s="1"/>
  <c r="J19" i="9"/>
  <c r="AH17" i="9"/>
  <c r="AI17" i="9" s="1"/>
  <c r="AJ17" i="9" s="1"/>
  <c r="AB94" i="9"/>
  <c r="AC94" i="9" s="1"/>
  <c r="AN94" i="9" s="1"/>
  <c r="AH32" i="9"/>
  <c r="AI32" i="9" s="1"/>
  <c r="AJ32" i="9" s="1"/>
  <c r="J20" i="9"/>
  <c r="AH20" i="9" s="1"/>
  <c r="AI20" i="9" s="1"/>
  <c r="AJ20" i="9" s="1"/>
  <c r="AN11" i="9" l="1"/>
  <c r="AL11" i="9"/>
  <c r="AE9" i="9"/>
  <c r="AF9" i="9" s="1"/>
  <c r="AG9" i="9" s="1"/>
  <c r="AN9" i="9"/>
  <c r="AE52" i="9"/>
  <c r="AF52" i="9" s="1"/>
  <c r="AG52" i="9" s="1"/>
  <c r="AN52" i="9"/>
  <c r="AH24" i="9"/>
  <c r="AI24" i="9" s="1"/>
  <c r="AJ24" i="9" s="1"/>
  <c r="AN24" i="9"/>
  <c r="AE14" i="9"/>
  <c r="AF14" i="9" s="1"/>
  <c r="AG14" i="9" s="1"/>
  <c r="AN14" i="9"/>
  <c r="AD13" i="9"/>
  <c r="AN13" i="9"/>
  <c r="AL29" i="9"/>
  <c r="J22" i="8" s="1"/>
  <c r="AN29" i="9"/>
  <c r="AE83" i="9"/>
  <c r="AF83" i="9" s="1"/>
  <c r="AG83" i="9" s="1"/>
  <c r="AN83" i="9"/>
  <c r="AH66" i="9"/>
  <c r="AI66" i="9" s="1"/>
  <c r="AJ66" i="9" s="1"/>
  <c r="AN66" i="9"/>
  <c r="AD34" i="9"/>
  <c r="AN34" i="9"/>
  <c r="AL30" i="9"/>
  <c r="J23" i="8" s="1"/>
  <c r="AN30" i="9"/>
  <c r="AE90" i="9"/>
  <c r="AF90" i="9" s="1"/>
  <c r="AG90" i="9" s="1"/>
  <c r="AC95" i="9"/>
  <c r="AN95" i="9" s="1"/>
  <c r="AC93" i="9"/>
  <c r="AN93" i="9" s="1"/>
  <c r="AC91" i="9"/>
  <c r="AC89" i="9"/>
  <c r="AC88" i="9"/>
  <c r="AC86" i="9"/>
  <c r="AC85" i="9"/>
  <c r="AC68" i="9"/>
  <c r="AN68" i="9" s="1"/>
  <c r="AN77" i="9"/>
  <c r="AC75" i="9"/>
  <c r="AN75" i="9" s="1"/>
  <c r="AC74" i="9"/>
  <c r="AC73" i="9"/>
  <c r="AD43" i="9"/>
  <c r="AL66" i="9"/>
  <c r="J58" i="8" s="1"/>
  <c r="AE66" i="9"/>
  <c r="AF66" i="9" s="1"/>
  <c r="AG66" i="9" s="1"/>
  <c r="AD66" i="9"/>
  <c r="AE38" i="9"/>
  <c r="AF38" i="9" s="1"/>
  <c r="AG38" i="9" s="1"/>
  <c r="AD58" i="9"/>
  <c r="AC40" i="9"/>
  <c r="AD62" i="9"/>
  <c r="AD54" i="9"/>
  <c r="AC46" i="9"/>
  <c r="AN46" i="9" s="1"/>
  <c r="AH10" i="9"/>
  <c r="AI10" i="9" s="1"/>
  <c r="AJ10" i="9" s="1"/>
  <c r="AC41" i="9"/>
  <c r="AN41" i="9" s="1"/>
  <c r="AC57" i="9"/>
  <c r="AC42" i="9"/>
  <c r="AL62" i="9"/>
  <c r="J54" i="8" s="1"/>
  <c r="AE62" i="9"/>
  <c r="AF62" i="9" s="1"/>
  <c r="AG62" i="9" s="1"/>
  <c r="AE55" i="9"/>
  <c r="AF55" i="9" s="1"/>
  <c r="AG55" i="9" s="1"/>
  <c r="AH55" i="9"/>
  <c r="AI55" i="9" s="1"/>
  <c r="AJ55" i="9" s="1"/>
  <c r="AH54" i="9"/>
  <c r="AI54" i="9" s="1"/>
  <c r="AJ54" i="9" s="1"/>
  <c r="AH52" i="9"/>
  <c r="AI52" i="9" s="1"/>
  <c r="AJ52" i="9" s="1"/>
  <c r="AC49" i="9"/>
  <c r="AN49" i="9" s="1"/>
  <c r="AC47" i="9"/>
  <c r="AE39" i="9"/>
  <c r="AF39" i="9" s="1"/>
  <c r="AG39" i="9" s="1"/>
  <c r="AH39" i="9"/>
  <c r="AI39" i="9" s="1"/>
  <c r="AJ39" i="9" s="1"/>
  <c r="AH38" i="9"/>
  <c r="AI38" i="9" s="1"/>
  <c r="AJ38" i="9" s="1"/>
  <c r="AL67" i="9"/>
  <c r="J59" i="8" s="1"/>
  <c r="AE67" i="9"/>
  <c r="AF67" i="9" s="1"/>
  <c r="AG67" i="9" s="1"/>
  <c r="AC37" i="9"/>
  <c r="AC19" i="9"/>
  <c r="AH45" i="9"/>
  <c r="AI45" i="9" s="1"/>
  <c r="AJ45" i="9" s="1"/>
  <c r="AL45" i="9"/>
  <c r="J38" i="8" s="1"/>
  <c r="AC32" i="9"/>
  <c r="AE48" i="9"/>
  <c r="AF48" i="9" s="1"/>
  <c r="AG48" i="9" s="1"/>
  <c r="AD87" i="9"/>
  <c r="AH9" i="9"/>
  <c r="AI9" i="9" s="1"/>
  <c r="AJ9" i="9" s="1"/>
  <c r="AD30" i="9"/>
  <c r="AE30" i="9"/>
  <c r="AF30" i="9" s="1"/>
  <c r="AG30" i="9" s="1"/>
  <c r="AC27" i="9"/>
  <c r="AC18" i="9"/>
  <c r="AN18" i="9" s="1"/>
  <c r="AE60" i="9"/>
  <c r="AF60" i="9" s="1"/>
  <c r="AG60" i="9" s="1"/>
  <c r="AL33" i="9"/>
  <c r="J26" i="8" s="1"/>
  <c r="AD67" i="9"/>
  <c r="AE33" i="9"/>
  <c r="AF33" i="9" s="1"/>
  <c r="AG33" i="9" s="1"/>
  <c r="AD83" i="9"/>
  <c r="AD33" i="9"/>
  <c r="AD15" i="9"/>
  <c r="AE45" i="9"/>
  <c r="AF45" i="9" s="1"/>
  <c r="AG45" i="9" s="1"/>
  <c r="AD52" i="9"/>
  <c r="AE15" i="9"/>
  <c r="AF15" i="9" s="1"/>
  <c r="AG15" i="9" s="1"/>
  <c r="AD29" i="9"/>
  <c r="AL15" i="9"/>
  <c r="J9" i="8" s="1"/>
  <c r="AE29" i="9"/>
  <c r="AF29" i="9" s="1"/>
  <c r="AG29" i="9" s="1"/>
  <c r="AL87" i="9"/>
  <c r="J76" i="8" s="1"/>
  <c r="AD45" i="9"/>
  <c r="AE87" i="9"/>
  <c r="AF87" i="9" s="1"/>
  <c r="AG87" i="9" s="1"/>
  <c r="AH48" i="9"/>
  <c r="AI48" i="9" s="1"/>
  <c r="AJ48" i="9" s="1"/>
  <c r="AH26" i="9"/>
  <c r="AI26" i="9" s="1"/>
  <c r="AJ26" i="9" s="1"/>
  <c r="AD25" i="9"/>
  <c r="AH25" i="9"/>
  <c r="AI25" i="9" s="1"/>
  <c r="AJ25" i="9" s="1"/>
  <c r="AE23" i="9"/>
  <c r="AF23" i="9" s="1"/>
  <c r="AG23" i="9" s="1"/>
  <c r="AH23" i="9"/>
  <c r="AI23" i="9" s="1"/>
  <c r="AJ23" i="9" s="1"/>
  <c r="AL20" i="9"/>
  <c r="J14" i="8" s="1"/>
  <c r="AE20" i="9"/>
  <c r="AF20" i="9" s="1"/>
  <c r="AG20" i="9" s="1"/>
  <c r="AD20" i="9"/>
  <c r="AH12" i="9"/>
  <c r="AI12" i="9" s="1"/>
  <c r="AJ12" i="9" s="1"/>
  <c r="AD11" i="9"/>
  <c r="AE11" i="9"/>
  <c r="AF11" i="9" s="1"/>
  <c r="AG11" i="9" s="1"/>
  <c r="J5" i="8"/>
  <c r="AH11" i="9"/>
  <c r="AI11" i="9" s="1"/>
  <c r="AJ11" i="9" s="1"/>
  <c r="AE17" i="9"/>
  <c r="AF17" i="9" s="1"/>
  <c r="AG17" i="9" s="1"/>
  <c r="AL61" i="9"/>
  <c r="J53" i="8" s="1"/>
  <c r="AH61" i="9"/>
  <c r="AI61" i="9" s="1"/>
  <c r="AJ61" i="9" s="1"/>
  <c r="AE61" i="9"/>
  <c r="AF61" i="9" s="1"/>
  <c r="AG61" i="9" s="1"/>
  <c r="AD94" i="9"/>
  <c r="AD44" i="9"/>
  <c r="AL69" i="9"/>
  <c r="J61" i="8" s="1"/>
  <c r="AE69" i="9"/>
  <c r="AF69" i="9" s="1"/>
  <c r="AG69" i="9" s="1"/>
  <c r="AL16" i="9"/>
  <c r="J10" i="8" s="1"/>
  <c r="AE16" i="9"/>
  <c r="AF16" i="9" s="1"/>
  <c r="AG16" i="9" s="1"/>
  <c r="AL31" i="9"/>
  <c r="J24" i="8" s="1"/>
  <c r="AE31" i="9"/>
  <c r="AF31" i="9" s="1"/>
  <c r="AG31" i="9" s="1"/>
  <c r="AL90" i="9"/>
  <c r="J79" i="8" s="1"/>
  <c r="AL23" i="9"/>
  <c r="J17" i="8" s="1"/>
  <c r="AL83" i="9"/>
  <c r="J73" i="8" s="1"/>
  <c r="AL76" i="9"/>
  <c r="J68" i="8" s="1"/>
  <c r="AE76" i="9"/>
  <c r="AF76" i="9" s="1"/>
  <c r="AG76" i="9" s="1"/>
  <c r="AL92" i="9"/>
  <c r="J81" i="8" s="1"/>
  <c r="AL54" i="9"/>
  <c r="AL70" i="9"/>
  <c r="J62" i="8" s="1"/>
  <c r="AL43" i="9"/>
  <c r="J36" i="8" s="1"/>
  <c r="AL17" i="9"/>
  <c r="J11" i="8" s="1"/>
  <c r="AE43" i="9"/>
  <c r="AF43" i="9" s="1"/>
  <c r="AG43" i="9" s="1"/>
  <c r="AD39" i="9"/>
  <c r="AL25" i="9"/>
  <c r="AD69" i="9"/>
  <c r="AL24" i="9"/>
  <c r="J18" i="8" s="1"/>
  <c r="AL34" i="9"/>
  <c r="J27" i="8" s="1"/>
  <c r="AD76" i="9"/>
  <c r="AE24" i="9"/>
  <c r="AF24" i="9" s="1"/>
  <c r="AG24" i="9" s="1"/>
  <c r="AD23" i="9"/>
  <c r="AD31" i="9"/>
  <c r="AL52" i="9"/>
  <c r="J45" i="8" s="1"/>
  <c r="AL26" i="9"/>
  <c r="J20" i="8" s="1"/>
  <c r="AD70" i="9"/>
  <c r="AE26" i="9"/>
  <c r="AF26" i="9" s="1"/>
  <c r="AG26" i="9" s="1"/>
  <c r="AL14" i="9"/>
  <c r="J8" i="8" s="1"/>
  <c r="AD78" i="9"/>
  <c r="AL58" i="9"/>
  <c r="J50" i="8" s="1"/>
  <c r="AL9" i="9"/>
  <c r="J3" i="8" s="1"/>
  <c r="AD14" i="9"/>
  <c r="AE92" i="9"/>
  <c r="AF92" i="9" s="1"/>
  <c r="AG92" i="9" s="1"/>
  <c r="AL39" i="9"/>
  <c r="J32" i="8" s="1"/>
  <c r="AD92" i="9"/>
  <c r="AL72" i="9"/>
  <c r="J64" i="8" s="1"/>
  <c r="AH16" i="9"/>
  <c r="AI16" i="9" s="1"/>
  <c r="AJ16" i="9" s="1"/>
  <c r="AE72" i="9"/>
  <c r="AF72" i="9" s="1"/>
  <c r="AG72" i="9" s="1"/>
  <c r="AE54" i="9"/>
  <c r="AF54" i="9" s="1"/>
  <c r="AG54" i="9" s="1"/>
  <c r="AE58" i="9"/>
  <c r="AF58" i="9" s="1"/>
  <c r="AG58" i="9" s="1"/>
  <c r="AD9" i="9"/>
  <c r="AL38" i="9"/>
  <c r="J31" i="8" s="1"/>
  <c r="AL55" i="9"/>
  <c r="J48" i="8" s="1"/>
  <c r="AD24" i="9"/>
  <c r="AE70" i="9"/>
  <c r="AF70" i="9" s="1"/>
  <c r="AG70" i="9" s="1"/>
  <c r="AD16" i="9"/>
  <c r="AH19" i="9"/>
  <c r="AI19" i="9" s="1"/>
  <c r="AJ19" i="9" s="1"/>
  <c r="AE34" i="9"/>
  <c r="AF34" i="9" s="1"/>
  <c r="AG34" i="9" s="1"/>
  <c r="AC8" i="9"/>
  <c r="AH34" i="9"/>
  <c r="AI34" i="9" s="1"/>
  <c r="AJ34" i="9" s="1"/>
  <c r="AD38" i="9"/>
  <c r="AD63" i="9"/>
  <c r="AD55" i="9"/>
  <c r="AL13" i="9"/>
  <c r="J7" i="8" s="1"/>
  <c r="AE13" i="9"/>
  <c r="AF13" i="9" s="1"/>
  <c r="AG13" i="9" s="1"/>
  <c r="AD61" i="9"/>
  <c r="AD17" i="9"/>
  <c r="AE25" i="9"/>
  <c r="AF25" i="9" s="1"/>
  <c r="AG25" i="9" s="1"/>
  <c r="AD59" i="9"/>
  <c r="AD90" i="9"/>
  <c r="AD72" i="9"/>
  <c r="J47" i="8" l="1"/>
  <c r="J19" i="8"/>
  <c r="J28" i="8"/>
  <c r="AH8" i="9"/>
  <c r="AI8" i="9" s="1"/>
  <c r="AJ8" i="9" s="1"/>
  <c r="AL8" i="9"/>
  <c r="J2" i="8" s="1"/>
  <c r="AK14" i="9"/>
  <c r="AD27" i="9"/>
  <c r="AN27" i="9"/>
  <c r="AE42" i="9"/>
  <c r="AF42" i="9" s="1"/>
  <c r="AG42" i="9" s="1"/>
  <c r="AN42" i="9"/>
  <c r="AE91" i="9"/>
  <c r="AF91" i="9" s="1"/>
  <c r="AG91" i="9" s="1"/>
  <c r="AN91" i="9"/>
  <c r="AK13" i="9"/>
  <c r="AD57" i="9"/>
  <c r="AN57" i="9"/>
  <c r="AK83" i="9"/>
  <c r="AD32" i="9"/>
  <c r="AN32" i="9"/>
  <c r="AE40" i="9"/>
  <c r="AF40" i="9" s="1"/>
  <c r="AG40" i="9" s="1"/>
  <c r="AN40" i="9"/>
  <c r="AD85" i="9"/>
  <c r="AN85" i="9"/>
  <c r="AD19" i="9"/>
  <c r="AN19" i="9"/>
  <c r="AE86" i="9"/>
  <c r="AF86" i="9" s="1"/>
  <c r="AG86" i="9" s="1"/>
  <c r="AN86" i="9"/>
  <c r="AE71" i="9"/>
  <c r="AF71" i="9" s="1"/>
  <c r="AG71" i="9" s="1"/>
  <c r="AN71" i="9"/>
  <c r="AD47" i="9"/>
  <c r="AN47" i="9"/>
  <c r="AD37" i="9"/>
  <c r="AN37" i="9"/>
  <c r="AE88" i="9"/>
  <c r="AF88" i="9" s="1"/>
  <c r="AG88" i="9" s="1"/>
  <c r="AN88" i="9"/>
  <c r="AE73" i="9"/>
  <c r="AF73" i="9" s="1"/>
  <c r="AG73" i="9" s="1"/>
  <c r="AN73" i="9"/>
  <c r="AE74" i="9"/>
  <c r="AF74" i="9" s="1"/>
  <c r="AG74" i="9" s="1"/>
  <c r="AN74" i="9"/>
  <c r="AE89" i="9"/>
  <c r="AF89" i="9" s="1"/>
  <c r="AG89" i="9" s="1"/>
  <c r="AN89" i="9"/>
  <c r="AK90" i="9"/>
  <c r="AL91" i="9"/>
  <c r="J80" i="8" s="1"/>
  <c r="AE19" i="9"/>
  <c r="AF19" i="9" s="1"/>
  <c r="AG19" i="9" s="1"/>
  <c r="AD89" i="9"/>
  <c r="AE85" i="9"/>
  <c r="AF85" i="9" s="1"/>
  <c r="AG85" i="9" s="1"/>
  <c r="AK85" i="9" s="1"/>
  <c r="AL85" i="9"/>
  <c r="J74" i="8" s="1"/>
  <c r="AL89" i="9"/>
  <c r="J78" i="8" s="1"/>
  <c r="AL86" i="9"/>
  <c r="J75" i="8" s="1"/>
  <c r="AL74" i="9"/>
  <c r="J66" i="8" s="1"/>
  <c r="AE68" i="9"/>
  <c r="AF68" i="9" s="1"/>
  <c r="AG68" i="9" s="1"/>
  <c r="AD91" i="9"/>
  <c r="AD68" i="9"/>
  <c r="AL68" i="9"/>
  <c r="J60" i="8" s="1"/>
  <c r="AL40" i="9"/>
  <c r="J33" i="8" s="1"/>
  <c r="AE47" i="9"/>
  <c r="AF47" i="9" s="1"/>
  <c r="AG47" i="9" s="1"/>
  <c r="AK58" i="9"/>
  <c r="AD71" i="9"/>
  <c r="AL95" i="9"/>
  <c r="J84" i="8" s="1"/>
  <c r="AE95" i="9"/>
  <c r="AF95" i="9" s="1"/>
  <c r="AG95" i="9" s="1"/>
  <c r="AD95" i="9"/>
  <c r="AL93" i="9"/>
  <c r="J82" i="8" s="1"/>
  <c r="AE93" i="9"/>
  <c r="AF93" i="9" s="1"/>
  <c r="AG93" i="9" s="1"/>
  <c r="AD93" i="9"/>
  <c r="AD88" i="9"/>
  <c r="AL88" i="9"/>
  <c r="J77" i="8" s="1"/>
  <c r="AD86" i="9"/>
  <c r="AK43" i="9"/>
  <c r="AL73" i="9"/>
  <c r="J65" i="8" s="1"/>
  <c r="AL47" i="9"/>
  <c r="J40" i="8" s="1"/>
  <c r="AK17" i="9"/>
  <c r="AL77" i="9"/>
  <c r="J69" i="8" s="1"/>
  <c r="AE77" i="9"/>
  <c r="AF77" i="9" s="1"/>
  <c r="AG77" i="9" s="1"/>
  <c r="AD77" i="9"/>
  <c r="AL75" i="9"/>
  <c r="J67" i="8" s="1"/>
  <c r="AE75" i="9"/>
  <c r="AF75" i="9" s="1"/>
  <c r="AG75" i="9" s="1"/>
  <c r="AD75" i="9"/>
  <c r="AD73" i="9"/>
  <c r="AD74" i="9"/>
  <c r="AL71" i="9"/>
  <c r="J63" i="8" s="1"/>
  <c r="AK66" i="9"/>
  <c r="AL42" i="9"/>
  <c r="J35" i="8" s="1"/>
  <c r="AK52" i="9"/>
  <c r="AD40" i="9"/>
  <c r="AK62" i="9"/>
  <c r="AH40" i="9"/>
  <c r="AI40" i="9" s="1"/>
  <c r="AJ40" i="9" s="1"/>
  <c r="AK54" i="9"/>
  <c r="AD42" i="9"/>
  <c r="AL41" i="9"/>
  <c r="J34" i="8" s="1"/>
  <c r="AH41" i="9"/>
  <c r="AI41" i="9" s="1"/>
  <c r="AJ41" i="9" s="1"/>
  <c r="AE41" i="9"/>
  <c r="AF41" i="9" s="1"/>
  <c r="AG41" i="9" s="1"/>
  <c r="AD41" i="9"/>
  <c r="AL57" i="9"/>
  <c r="J49" i="8" s="1"/>
  <c r="AE57" i="9"/>
  <c r="AF57" i="9" s="1"/>
  <c r="AG57" i="9" s="1"/>
  <c r="AK55" i="9"/>
  <c r="AK38" i="9"/>
  <c r="AK87" i="9"/>
  <c r="AL46" i="9"/>
  <c r="J39" i="8" s="1"/>
  <c r="AE46" i="9"/>
  <c r="AF46" i="9" s="1"/>
  <c r="AG46" i="9" s="1"/>
  <c r="AD46" i="9"/>
  <c r="AD53" i="9"/>
  <c r="AH53" i="9"/>
  <c r="AI53" i="9" s="1"/>
  <c r="AJ53" i="9" s="1"/>
  <c r="AK67" i="9"/>
  <c r="AK61" i="9"/>
  <c r="AL49" i="9"/>
  <c r="J42" i="8" s="1"/>
  <c r="AE49" i="9"/>
  <c r="AF49" i="9" s="1"/>
  <c r="AG49" i="9" s="1"/>
  <c r="AD49" i="9"/>
  <c r="AK39" i="9"/>
  <c r="AE37" i="9"/>
  <c r="AF37" i="9" s="1"/>
  <c r="AG37" i="9" s="1"/>
  <c r="AH37" i="9"/>
  <c r="AI37" i="9" s="1"/>
  <c r="AJ37" i="9" s="1"/>
  <c r="AD48" i="9"/>
  <c r="AK48" i="9" s="1"/>
  <c r="AL37" i="9"/>
  <c r="J30" i="8" s="1"/>
  <c r="AL48" i="9"/>
  <c r="J41" i="8" s="1"/>
  <c r="AL19" i="9"/>
  <c r="J13" i="8" s="1"/>
  <c r="AK9" i="9"/>
  <c r="AK92" i="9"/>
  <c r="AK30" i="9"/>
  <c r="AK29" i="9"/>
  <c r="AD60" i="9"/>
  <c r="AK60" i="9" s="1"/>
  <c r="AL32" i="9"/>
  <c r="J25" i="8" s="1"/>
  <c r="AE32" i="9"/>
  <c r="AF32" i="9" s="1"/>
  <c r="AG32" i="9" s="1"/>
  <c r="AK15" i="9"/>
  <c r="AK33" i="9"/>
  <c r="AL18" i="9"/>
  <c r="J12" i="8" s="1"/>
  <c r="AE18" i="9"/>
  <c r="AF18" i="9" s="1"/>
  <c r="AG18" i="9" s="1"/>
  <c r="AK45" i="9"/>
  <c r="AD18" i="9"/>
  <c r="AK76" i="9"/>
  <c r="AL60" i="9"/>
  <c r="J52" i="8" s="1"/>
  <c r="AK16" i="9"/>
  <c r="AL27" i="9"/>
  <c r="J21" i="8" s="1"/>
  <c r="AE27" i="9"/>
  <c r="AF27" i="9" s="1"/>
  <c r="AG27" i="9" s="1"/>
  <c r="AD26" i="9"/>
  <c r="AK26" i="9" s="1"/>
  <c r="AK25" i="9"/>
  <c r="AK23" i="9"/>
  <c r="AK34" i="9"/>
  <c r="AK20" i="9"/>
  <c r="AE12" i="9"/>
  <c r="AF12" i="9" s="1"/>
  <c r="AG12" i="9" s="1"/>
  <c r="AL12" i="9"/>
  <c r="J6" i="8" s="1"/>
  <c r="AD12" i="9"/>
  <c r="AK11" i="9"/>
  <c r="AK70" i="9"/>
  <c r="AK72" i="9"/>
  <c r="AL44" i="9"/>
  <c r="J37" i="8" s="1"/>
  <c r="AE44" i="9"/>
  <c r="AF44" i="9" s="1"/>
  <c r="AG44" i="9" s="1"/>
  <c r="AK44" i="9" s="1"/>
  <c r="AL94" i="9"/>
  <c r="J83" i="8" s="1"/>
  <c r="AE94" i="9"/>
  <c r="AF94" i="9" s="1"/>
  <c r="AG94" i="9" s="1"/>
  <c r="AK94" i="9" s="1"/>
  <c r="AK24" i="9"/>
  <c r="AL78" i="9"/>
  <c r="J70" i="8" s="1"/>
  <c r="AE78" i="9"/>
  <c r="AF78" i="9" s="1"/>
  <c r="AG78" i="9" s="1"/>
  <c r="AK78" i="9" s="1"/>
  <c r="AK69" i="9"/>
  <c r="AL10" i="9"/>
  <c r="J4" i="8" s="1"/>
  <c r="AE10" i="9"/>
  <c r="AF10" i="9" s="1"/>
  <c r="AG10" i="9" s="1"/>
  <c r="AK31" i="9"/>
  <c r="AN8" i="9"/>
  <c r="AE8" i="9"/>
  <c r="AF8" i="9" s="1"/>
  <c r="AG8" i="9" s="1"/>
  <c r="AL53" i="9"/>
  <c r="J46" i="8" s="1"/>
  <c r="AE53" i="9"/>
  <c r="AF53" i="9" s="1"/>
  <c r="AG53" i="9" s="1"/>
  <c r="AD8" i="9"/>
  <c r="AL59" i="9"/>
  <c r="J51" i="8" s="1"/>
  <c r="AE59" i="9"/>
  <c r="AF59" i="9" s="1"/>
  <c r="AG59" i="9" s="1"/>
  <c r="AK59" i="9" s="1"/>
  <c r="AL63" i="9"/>
  <c r="J55" i="8" s="1"/>
  <c r="AE63" i="9"/>
  <c r="AF63" i="9" s="1"/>
  <c r="AG63" i="9" s="1"/>
  <c r="AH63" i="9"/>
  <c r="AI63" i="9" s="1"/>
  <c r="AJ63" i="9" s="1"/>
  <c r="AD10" i="9"/>
  <c r="AL64" i="9" l="1"/>
  <c r="J56" i="8" s="1"/>
  <c r="C5" i="8"/>
  <c r="D5" i="8" s="1"/>
  <c r="E5" i="8" s="1"/>
  <c r="AK42" i="9"/>
  <c r="AK88" i="9"/>
  <c r="AK73" i="9"/>
  <c r="AK74" i="9"/>
  <c r="AK86" i="9"/>
  <c r="AK27" i="9"/>
  <c r="AK91" i="9"/>
  <c r="AK32" i="9"/>
  <c r="AK89" i="9"/>
  <c r="AK47" i="9"/>
  <c r="AK19" i="9"/>
  <c r="AK57" i="9"/>
  <c r="AK71" i="9"/>
  <c r="AK37" i="9"/>
  <c r="AK68" i="9"/>
  <c r="AK40" i="9"/>
  <c r="AK93" i="9"/>
  <c r="AK95" i="9"/>
  <c r="AK8" i="9"/>
  <c r="AK77" i="9"/>
  <c r="AK75" i="9"/>
  <c r="AK49" i="9"/>
  <c r="AK41" i="9"/>
  <c r="AK46" i="9"/>
  <c r="AK53" i="9"/>
  <c r="AK18" i="9"/>
  <c r="AK63" i="9"/>
  <c r="AK12" i="9"/>
  <c r="AK10" i="9"/>
  <c r="C3" i="8" l="1"/>
  <c r="D3" i="8" s="1"/>
  <c r="E3" i="8" s="1"/>
  <c r="C4" i="8"/>
  <c r="D4" i="8" s="1"/>
  <c r="E4" i="8" s="1"/>
</calcChain>
</file>

<file path=xl/sharedStrings.xml><?xml version="1.0" encoding="utf-8"?>
<sst xmlns="http://schemas.openxmlformats.org/spreadsheetml/2006/main" count="535" uniqueCount="172">
  <si>
    <t>Current Rating of the Cable</t>
  </si>
  <si>
    <t>Remarks</t>
  </si>
  <si>
    <t>DERATING FACTOR</t>
  </si>
  <si>
    <t>Size</t>
  </si>
  <si>
    <t>Grouping factor (K2)</t>
  </si>
  <si>
    <t>SL No</t>
  </si>
  <si>
    <t>Total Length in meters</t>
  </si>
  <si>
    <t>Description</t>
  </si>
  <si>
    <t>Power factor</t>
  </si>
  <si>
    <t>Efficiency</t>
  </si>
  <si>
    <t>Motor starting current</t>
  </si>
  <si>
    <t>Motor starting power factor</t>
  </si>
  <si>
    <t>LOAD</t>
  </si>
  <si>
    <t>Ambient temperature (K1)</t>
  </si>
  <si>
    <t>SHORT CIRCUIT CURRENT WITHSTAND CAPABILITY</t>
  </si>
  <si>
    <t>CABLE DATA</t>
  </si>
  <si>
    <t>No. of Cores</t>
  </si>
  <si>
    <t>Installation</t>
  </si>
  <si>
    <t>Air</t>
  </si>
  <si>
    <t>Derated current &gt; Rated current</t>
  </si>
  <si>
    <t>%</t>
  </si>
  <si>
    <t>Allowable</t>
  </si>
  <si>
    <t>Rated power</t>
  </si>
  <si>
    <t>Rated Voltage</t>
  </si>
  <si>
    <t xml:space="preserve"> kV</t>
  </si>
  <si>
    <t>Rated full load current</t>
  </si>
  <si>
    <t>A</t>
  </si>
  <si>
    <t>Short circuit current of switchboard</t>
  </si>
  <si>
    <t>kA</t>
  </si>
  <si>
    <t>Short circuit current withstand duration</t>
  </si>
  <si>
    <t>Sec</t>
  </si>
  <si>
    <t>Minimum size required for Short circuit withstand capacity</t>
  </si>
  <si>
    <t>Sq.mm</t>
  </si>
  <si>
    <t>Cable length</t>
  </si>
  <si>
    <t>Meters</t>
  </si>
  <si>
    <t>CURRENT CARRYING CAPACITY</t>
  </si>
  <si>
    <t>Derated current carrying capacity</t>
  </si>
  <si>
    <t>Overall derating factor</t>
  </si>
  <si>
    <t xml:space="preserve">VOLTAGE DROP </t>
  </si>
  <si>
    <t>MOTOR STARTING VOLTAGE DIP</t>
  </si>
  <si>
    <t>Ohm / Ph / km</t>
  </si>
  <si>
    <t>Single core</t>
  </si>
  <si>
    <t>Multi core</t>
  </si>
  <si>
    <t>Thermal resistivity of ground (K5)</t>
  </si>
  <si>
    <t>Ground temprature (K3)</t>
  </si>
  <si>
    <t>Depth of laying (K4)</t>
  </si>
  <si>
    <t>Type of feeder</t>
  </si>
  <si>
    <t>M</t>
  </si>
  <si>
    <t>XLPE</t>
  </si>
  <si>
    <t>Current carrying capacity</t>
  </si>
  <si>
    <t>Resistance Ohm/km</t>
  </si>
  <si>
    <t>Reactance Ohm/km</t>
  </si>
  <si>
    <t>Ground</t>
  </si>
  <si>
    <t>Multi core cable</t>
  </si>
  <si>
    <t>Single core cable</t>
  </si>
  <si>
    <t>Duct</t>
  </si>
  <si>
    <t>1C</t>
  </si>
  <si>
    <t>3C</t>
  </si>
  <si>
    <t>1C X 400</t>
  </si>
  <si>
    <t>1C X 300</t>
  </si>
  <si>
    <t>3C X 120</t>
  </si>
  <si>
    <t>3C X 150</t>
  </si>
  <si>
    <t>kVA</t>
  </si>
  <si>
    <t>kW</t>
  </si>
  <si>
    <t>1C X 500</t>
  </si>
  <si>
    <t>1C X 630</t>
  </si>
  <si>
    <t>AIR</t>
  </si>
  <si>
    <t>DUCT</t>
  </si>
  <si>
    <t>Cable resistance at 90°C</t>
  </si>
  <si>
    <t>∆U</t>
  </si>
  <si>
    <t>3C X 185</t>
  </si>
  <si>
    <t>Selected Cable Size / Phase</t>
  </si>
  <si>
    <t>Cable Dia</t>
  </si>
  <si>
    <t>GROUND</t>
  </si>
  <si>
    <t>3C X 240</t>
  </si>
  <si>
    <t xml:space="preserve">Grouping factor (K2) Duct Spacing (3 cables) 200mm
Centre to Centre &amp; 3 tier trays with spacing
</t>
  </si>
  <si>
    <t>Thermal resistivity of ground (1.5 °C.m/W) (K5)</t>
  </si>
  <si>
    <t>1C X 150</t>
  </si>
  <si>
    <t>1C X 185</t>
  </si>
  <si>
    <t>1C X 240</t>
  </si>
  <si>
    <t>Cable reactance at 50Hz</t>
  </si>
  <si>
    <t>F</t>
  </si>
  <si>
    <r>
      <t>Size in mm</t>
    </r>
    <r>
      <rPr>
        <vertAlign val="superscript"/>
        <sz val="11"/>
        <rFont val="Calibri"/>
        <family val="2"/>
      </rPr>
      <t>2</t>
    </r>
  </si>
  <si>
    <t>3C X 300</t>
  </si>
  <si>
    <t>3C X 400</t>
  </si>
  <si>
    <t>Ground temprature (K3) 30°C</t>
  </si>
  <si>
    <t xml:space="preserve">Depth of laying (K4) (1500 mm) </t>
  </si>
  <si>
    <t>Terminations</t>
  </si>
  <si>
    <t>Termination Kits</t>
  </si>
  <si>
    <t>Joining Kits</t>
  </si>
  <si>
    <r>
      <t>Ambient temperature (K1) 50</t>
    </r>
    <r>
      <rPr>
        <sz val="11"/>
        <rFont val="Arial"/>
        <family val="2"/>
      </rPr>
      <t>°</t>
    </r>
    <r>
      <rPr>
        <sz val="9.35"/>
        <rFont val="Calibri"/>
        <family val="2"/>
      </rPr>
      <t>C</t>
    </r>
  </si>
  <si>
    <t>MDBFP Motor</t>
  </si>
  <si>
    <t>UAT Auxiliary Transformer Feeder</t>
  </si>
  <si>
    <t>AHP Auxiliary Transformer Feeder</t>
  </si>
  <si>
    <t>CHP Auxiliary Transformer Feeder</t>
  </si>
  <si>
    <t>Station Service Transformer Feeder</t>
  </si>
  <si>
    <t>Switchyard Service Transformer Feeder</t>
  </si>
  <si>
    <t>Turbine Tower Service Transformer Feeder</t>
  </si>
  <si>
    <t>Boiler Service Transformer Feeder</t>
  </si>
  <si>
    <t>CHP Service Transformer Feeder</t>
  </si>
  <si>
    <t>Lighting Service Transformer</t>
  </si>
  <si>
    <t>HVAC Transformer Feeder</t>
  </si>
  <si>
    <t>ATTCHMENT 2 - 11kV_HT CABLE SIZNG</t>
  </si>
  <si>
    <t>CW Pump Motor</t>
  </si>
  <si>
    <t>11 KV UNIT SWGR-3UA</t>
  </si>
  <si>
    <t>11 KV UNIT SWGR-3UB</t>
  </si>
  <si>
    <t>11kV SWITCHGEAR</t>
  </si>
  <si>
    <t>Row Labels</t>
  </si>
  <si>
    <t>2R X 11kV X 1C X 400 Sqmm</t>
  </si>
  <si>
    <t>3R X 11kV X 1C X 400 Sqmm</t>
  </si>
  <si>
    <t>Grand Total</t>
  </si>
  <si>
    <t>Sum of Total Length in meters</t>
  </si>
  <si>
    <t>BOQ</t>
  </si>
  <si>
    <t>Sl.No</t>
  </si>
  <si>
    <t>Type of Cable</t>
  </si>
  <si>
    <t>Length As per Calculation</t>
  </si>
  <si>
    <t>Margin
(10%)</t>
  </si>
  <si>
    <t>Total Length</t>
  </si>
  <si>
    <t>3C x 300</t>
  </si>
  <si>
    <t>1C x 400</t>
  </si>
  <si>
    <t>CW Pump #1</t>
  </si>
  <si>
    <t>MDBFP</t>
  </si>
  <si>
    <t>ESP Service Transformer Feeder-1</t>
  </si>
  <si>
    <t>ESP Service Transformer Feeder-2</t>
  </si>
  <si>
    <t>ESP Service Transformer Feeder-3</t>
  </si>
  <si>
    <t>Cooling Tower Transformer Feeder-2A</t>
  </si>
  <si>
    <t>CW Pump #2</t>
  </si>
  <si>
    <t>ESP Service Transformer Feeder-4</t>
  </si>
  <si>
    <t>ESP Service Transformer Feeder-5</t>
  </si>
  <si>
    <t>ESP Service Transformer Feeder-6</t>
  </si>
  <si>
    <t>Cooling Tower Transformer Feeder-2B</t>
  </si>
  <si>
    <t>CW Pump Motor#3</t>
  </si>
  <si>
    <t>Cooling Tower Transformer Feeder-3A</t>
  </si>
  <si>
    <t>CW Pump Motor#4</t>
  </si>
  <si>
    <t>Cooling Tower Transformer Feeder-3B</t>
  </si>
  <si>
    <t>WTP Service Transformer Feeder</t>
  </si>
  <si>
    <t>Colony Area Switchgear Feeder</t>
  </si>
  <si>
    <t>FGD Auxiliary Transformer Feeder</t>
  </si>
  <si>
    <t>No. of Runs/Phase</t>
  </si>
  <si>
    <t>KEC Cable Catalogue</t>
  </si>
  <si>
    <t>11/11kV</t>
  </si>
  <si>
    <t>Rounded Up (length in M)</t>
  </si>
  <si>
    <t>NA</t>
  </si>
  <si>
    <t>FD FAN-3A</t>
  </si>
  <si>
    <t>PA Fan 3A</t>
  </si>
  <si>
    <t>ID FAN #3A</t>
  </si>
  <si>
    <t>FD FAN-3B</t>
  </si>
  <si>
    <t>PA Fan 3B</t>
  </si>
  <si>
    <t>ID FAN #3B</t>
  </si>
  <si>
    <t>HVAC  Service Transformer Feeder</t>
  </si>
  <si>
    <t>11 KV UNIT SWGR-4UA</t>
  </si>
  <si>
    <t>FD FAN-4A</t>
  </si>
  <si>
    <t>PA FAN-4A</t>
  </si>
  <si>
    <t>ID FAN-4A</t>
  </si>
  <si>
    <t>11 KV UNIT SWGR-4UB</t>
  </si>
  <si>
    <t>FD FAN-4B</t>
  </si>
  <si>
    <t>PA FAN-4B</t>
  </si>
  <si>
    <t>ID FAN-4B</t>
  </si>
  <si>
    <t>11 KV STATION SWGR-3SA</t>
  </si>
  <si>
    <t>11/0.433kV Raw Water Service Transformer feeder#1</t>
  </si>
  <si>
    <t>11/0.433kV AWRS Service Transformer feeder#1</t>
  </si>
  <si>
    <t>11/0.433kV Fuel Oil Service Transformer feeder#1</t>
  </si>
  <si>
    <t>11/0.433kV WTP Service Transformer feeder#1</t>
  </si>
  <si>
    <t>11/0.433kV CHP Service Transformer feeder#1 (Bunker Bay)</t>
  </si>
  <si>
    <t>11/0.433kV Misc Service Transformer feeder#1</t>
  </si>
  <si>
    <t>11/6.9kV AHP Auxiliary Transformer Feeder#1</t>
  </si>
  <si>
    <t>11/6.9kV CHP Auxiliary Transformer Feeder#1</t>
  </si>
  <si>
    <t>11/6.9kV FGD Auxiliary Transformer Feeder#1</t>
  </si>
  <si>
    <t>Colony Area Switchgear</t>
  </si>
  <si>
    <t>River Water Intake Pump House Feeder -1</t>
  </si>
  <si>
    <t>11 KV STATION SWGR-4SA</t>
  </si>
  <si>
    <t>2x800 MW ULTRA SUPER CRITICAL THERMAL POWER PROJECT, RAIGARH (PHASE-II), RAIPUR,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</si>
</sst>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0"/>
      <name val="Arial"/>
    </font>
    <font>
      <sz val="10"/>
      <name val="Arial"/>
      <family val="2"/>
    </font>
    <font>
      <sz val="12"/>
      <name val="µ¸¿ò"/>
      <family val="3"/>
      <charset val="129"/>
    </font>
    <font>
      <sz val="11"/>
      <name val="돋움"/>
      <family val="3"/>
      <charset val="129"/>
    </font>
    <font>
      <sz val="11"/>
      <name val="Arial"/>
      <family val="2"/>
    </font>
    <font>
      <sz val="9.35"/>
      <name val="Calibri"/>
      <family val="2"/>
    </font>
    <font>
      <vertAlign val="superscript"/>
      <sz val="11"/>
      <name val="Calibri"/>
      <family val="2"/>
    </font>
    <font>
      <sz val="10"/>
      <name val="Adani Regula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83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2" fontId="11" fillId="4" borderId="1" xfId="0" applyNumberFormat="1" applyFont="1" applyFill="1" applyBorder="1" applyAlignment="1">
      <alignment horizontal="center" vertical="center"/>
    </xf>
    <xf numFmtId="2" fontId="11" fillId="4" borderId="3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12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2" fontId="11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1" fontId="11" fillId="0" borderId="22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0" fontId="12" fillId="4" borderId="26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left" vertical="center"/>
    </xf>
    <xf numFmtId="0" fontId="11" fillId="4" borderId="27" xfId="0" applyFont="1" applyFill="1" applyBorder="1" applyAlignment="1">
      <alignment horizontal="center" vertical="center"/>
    </xf>
    <xf numFmtId="2" fontId="11" fillId="4" borderId="27" xfId="0" applyNumberFormat="1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164" fontId="11" fillId="4" borderId="27" xfId="0" applyNumberFormat="1" applyFont="1" applyFill="1" applyBorder="1" applyAlignment="1">
      <alignment horizontal="center" vertical="center"/>
    </xf>
    <xf numFmtId="1" fontId="11" fillId="4" borderId="27" xfId="0" applyNumberFormat="1" applyFont="1" applyFill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2" fontId="11" fillId="0" borderId="30" xfId="0" applyNumberFormat="1" applyFont="1" applyBorder="1" applyAlignment="1">
      <alignment horizontal="center" vertical="center" wrapText="1"/>
    </xf>
    <xf numFmtId="2" fontId="11" fillId="4" borderId="28" xfId="0" applyNumberFormat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left" vertical="center" wrapText="1"/>
    </xf>
    <xf numFmtId="0" fontId="11" fillId="4" borderId="32" xfId="0" applyFont="1" applyFill="1" applyBorder="1" applyAlignment="1">
      <alignment horizontal="center" vertical="center"/>
    </xf>
    <xf numFmtId="2" fontId="11" fillId="4" borderId="32" xfId="0" applyNumberFormat="1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164" fontId="11" fillId="4" borderId="32" xfId="0" applyNumberFormat="1" applyFont="1" applyFill="1" applyBorder="1" applyAlignment="1">
      <alignment horizontal="center" vertical="center"/>
    </xf>
    <xf numFmtId="1" fontId="11" fillId="4" borderId="32" xfId="0" applyNumberFormat="1" applyFont="1" applyFill="1" applyBorder="1" applyAlignment="1">
      <alignment horizontal="center" vertical="center"/>
    </xf>
    <xf numFmtId="2" fontId="11" fillId="4" borderId="33" xfId="0" applyNumberFormat="1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left" vertical="center"/>
    </xf>
    <xf numFmtId="0" fontId="14" fillId="4" borderId="32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2" fontId="11" fillId="0" borderId="21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4" borderId="23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2" fontId="11" fillId="7" borderId="22" xfId="0" applyNumberFormat="1" applyFont="1" applyFill="1" applyBorder="1" applyAlignment="1">
      <alignment horizontal="center" vertical="center"/>
    </xf>
    <xf numFmtId="2" fontId="11" fillId="8" borderId="2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3" borderId="1" xfId="0" applyFont="1" applyFill="1" applyBorder="1"/>
    <xf numFmtId="0" fontId="11" fillId="9" borderId="2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2" fontId="11" fillId="9" borderId="23" xfId="0" applyNumberFormat="1" applyFont="1" applyFill="1" applyBorder="1" applyAlignment="1">
      <alignment horizontal="center" vertical="center"/>
    </xf>
    <xf numFmtId="2" fontId="11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 vertical="center"/>
    </xf>
    <xf numFmtId="2" fontId="11" fillId="9" borderId="4" xfId="0" applyNumberFormat="1" applyFont="1" applyFill="1" applyBorder="1" applyAlignment="1">
      <alignment horizontal="center" vertical="center"/>
    </xf>
    <xf numFmtId="2" fontId="11" fillId="9" borderId="3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2" fontId="11" fillId="3" borderId="4" xfId="0" applyNumberFormat="1" applyFont="1" applyFill="1" applyBorder="1" applyAlignment="1">
      <alignment horizontal="center" vertical="center"/>
    </xf>
    <xf numFmtId="2" fontId="11" fillId="3" borderId="3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3" borderId="23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left" vertical="center" wrapText="1"/>
    </xf>
    <xf numFmtId="0" fontId="11" fillId="3" borderId="22" xfId="0" applyFont="1" applyFill="1" applyBorder="1" applyAlignment="1">
      <alignment horizontal="center" vertical="center"/>
    </xf>
    <xf numFmtId="2" fontId="11" fillId="3" borderId="22" xfId="0" applyNumberFormat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164" fontId="11" fillId="3" borderId="22" xfId="0" applyNumberFormat="1" applyFont="1" applyFill="1" applyBorder="1" applyAlignment="1">
      <alignment horizontal="center" vertical="center"/>
    </xf>
    <xf numFmtId="1" fontId="11" fillId="3" borderId="22" xfId="0" applyNumberFormat="1" applyFont="1" applyFill="1" applyBorder="1" applyAlignment="1">
      <alignment horizontal="center" vertical="center"/>
    </xf>
    <xf numFmtId="2" fontId="11" fillId="3" borderId="29" xfId="0" applyNumberFormat="1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/>
    </xf>
    <xf numFmtId="2" fontId="11" fillId="3" borderId="23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164" fontId="11" fillId="3" borderId="23" xfId="0" applyNumberFormat="1" applyFont="1" applyFill="1" applyBorder="1" applyAlignment="1">
      <alignment horizontal="center" vertical="center"/>
    </xf>
    <xf numFmtId="1" fontId="11" fillId="3" borderId="23" xfId="0" applyNumberFormat="1" applyFont="1" applyFill="1" applyBorder="1" applyAlignment="1">
      <alignment horizontal="center" vertical="center"/>
    </xf>
    <xf numFmtId="2" fontId="11" fillId="3" borderId="30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2" fontId="11" fillId="0" borderId="4" xfId="0" applyNumberFormat="1" applyFont="1" applyFill="1" applyBorder="1" applyAlignment="1">
      <alignment horizontal="center" vertical="center"/>
    </xf>
    <xf numFmtId="2" fontId="11" fillId="0" borderId="3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표준 3" xfId="2" xr:uid="{00000000-0005-0000-0000-000002000000}"/>
    <cellStyle name="표준_Load-List-Cal-D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463838</xdr:colOff>
      <xdr:row>0</xdr:row>
      <xdr:rowOff>219075</xdr:rowOff>
    </xdr:from>
    <xdr:to>
      <xdr:col>38</xdr:col>
      <xdr:colOff>1519092</xdr:colOff>
      <xdr:row>1</xdr:row>
      <xdr:rowOff>457200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B9606FA-DFFA-4AC8-9908-FA7C1066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15" r="37125" b="32364"/>
        <a:stretch>
          <a:fillRect/>
        </a:stretch>
      </xdr:blipFill>
      <xdr:spPr bwMode="auto">
        <a:xfrm>
          <a:off x="30686663" y="219075"/>
          <a:ext cx="1055254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0</xdr:row>
      <xdr:rowOff>133350</xdr:rowOff>
    </xdr:from>
    <xdr:to>
      <xdr:col>1</xdr:col>
      <xdr:colOff>2266950</xdr:colOff>
      <xdr:row>1</xdr:row>
      <xdr:rowOff>485775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6A32BD9-842F-4CAF-A1C4-C94988012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33350"/>
          <a:ext cx="19526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Hurakadli" refreshedDate="45363.434381481478" createdVersion="8" refreshedVersion="8" minRefreshableVersion="3" recordCount="91" xr:uid="{F17B7781-81D7-4561-9FE7-C476C7A966EF}">
  <cacheSource type="worksheet">
    <worksheetSource ref="AK3:AL100" sheet="HT Cable"/>
  </cacheSource>
  <cacheFields count="2">
    <cacheField name="Selected Cable Size / Phase" numFmtId="0">
      <sharedItems containsBlank="1" count="8">
        <m/>
        <s v="3R X 11kV X 1C X 400 Sqmm"/>
        <s v="1R X 11kV X 3C X 240 Sqmm"/>
        <s v="2R X 11kV X 3C X 240 Sqmm"/>
        <s v="3R X 11kV X 3C X 300 Sqmm"/>
        <s v="4R X 11kV X 3C X 240 Sqmm"/>
        <s v="3R X 11kV X 1C X 300 Sqmm"/>
        <s v="2R X 11kV X 1C X 400 Sqmm"/>
      </sharedItems>
    </cacheField>
    <cacheField name="Total Length in meters" numFmtId="0">
      <sharedItems containsString="0" containsBlank="1" containsNumber="1" containsInteger="1" minValue="60" maxValue="13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m/>
  </r>
  <r>
    <x v="0"/>
    <m/>
  </r>
  <r>
    <x v="0"/>
    <m/>
  </r>
  <r>
    <x v="0"/>
    <m/>
  </r>
  <r>
    <x v="0"/>
    <m/>
  </r>
  <r>
    <x v="0"/>
    <m/>
  </r>
  <r>
    <x v="1"/>
    <n v="900"/>
  </r>
  <r>
    <x v="2"/>
    <n v="70"/>
  </r>
  <r>
    <x v="2"/>
    <n v="200"/>
  </r>
  <r>
    <x v="2"/>
    <n v="750"/>
  </r>
  <r>
    <x v="2"/>
    <n v="750"/>
  </r>
  <r>
    <x v="2"/>
    <n v="750"/>
  </r>
  <r>
    <x v="2"/>
    <n v="100"/>
  </r>
  <r>
    <x v="2"/>
    <n v="60"/>
  </r>
  <r>
    <x v="3"/>
    <n v="1200"/>
  </r>
  <r>
    <x v="4"/>
    <n v="1950"/>
  </r>
  <r>
    <x v="2"/>
    <n v="500"/>
  </r>
  <r>
    <x v="2"/>
    <n v="500"/>
  </r>
  <r>
    <x v="5"/>
    <n v="400"/>
  </r>
  <r>
    <x v="0"/>
    <m/>
  </r>
  <r>
    <x v="1"/>
    <n v="900"/>
  </r>
  <r>
    <x v="2"/>
    <n v="70"/>
  </r>
  <r>
    <x v="2"/>
    <n v="200"/>
  </r>
  <r>
    <x v="2"/>
    <n v="750"/>
  </r>
  <r>
    <x v="2"/>
    <n v="750"/>
  </r>
  <r>
    <x v="2"/>
    <n v="750"/>
  </r>
  <r>
    <x v="2"/>
    <n v="100"/>
  </r>
  <r>
    <x v="2"/>
    <n v="60"/>
  </r>
  <r>
    <x v="3"/>
    <n v="1200"/>
  </r>
  <r>
    <x v="4"/>
    <n v="1950"/>
  </r>
  <r>
    <x v="2"/>
    <n v="500"/>
  </r>
  <r>
    <x v="2"/>
    <n v="500"/>
  </r>
  <r>
    <x v="5"/>
    <n v="400"/>
  </r>
  <r>
    <x v="0"/>
    <m/>
  </r>
  <r>
    <x v="1"/>
    <n v="900"/>
  </r>
  <r>
    <x v="2"/>
    <n v="70"/>
  </r>
  <r>
    <x v="2"/>
    <n v="200"/>
  </r>
  <r>
    <x v="2"/>
    <n v="750"/>
  </r>
  <r>
    <x v="2"/>
    <n v="750"/>
  </r>
  <r>
    <x v="2"/>
    <n v="750"/>
  </r>
  <r>
    <x v="2"/>
    <n v="100"/>
  </r>
  <r>
    <x v="2"/>
    <n v="60"/>
  </r>
  <r>
    <x v="3"/>
    <n v="1200"/>
  </r>
  <r>
    <x v="4"/>
    <n v="1950"/>
  </r>
  <r>
    <x v="2"/>
    <n v="500"/>
  </r>
  <r>
    <x v="2"/>
    <n v="500"/>
  </r>
  <r>
    <x v="5"/>
    <n v="400"/>
  </r>
  <r>
    <x v="0"/>
    <m/>
  </r>
  <r>
    <x v="1"/>
    <n v="900"/>
  </r>
  <r>
    <x v="2"/>
    <n v="70"/>
  </r>
  <r>
    <x v="2"/>
    <n v="200"/>
  </r>
  <r>
    <x v="2"/>
    <n v="750"/>
  </r>
  <r>
    <x v="2"/>
    <n v="750"/>
  </r>
  <r>
    <x v="2"/>
    <n v="750"/>
  </r>
  <r>
    <x v="2"/>
    <n v="100"/>
  </r>
  <r>
    <x v="2"/>
    <n v="60"/>
  </r>
  <r>
    <x v="3"/>
    <n v="1200"/>
  </r>
  <r>
    <x v="4"/>
    <n v="1950"/>
  </r>
  <r>
    <x v="2"/>
    <n v="500"/>
  </r>
  <r>
    <x v="2"/>
    <n v="500"/>
  </r>
  <r>
    <x v="5"/>
    <n v="400"/>
  </r>
  <r>
    <x v="0"/>
    <m/>
  </r>
  <r>
    <x v="1"/>
    <n v="6750"/>
  </r>
  <r>
    <x v="2"/>
    <n v="100"/>
  </r>
  <r>
    <x v="2"/>
    <n v="600"/>
  </r>
  <r>
    <x v="2"/>
    <n v="2000"/>
  </r>
  <r>
    <x v="6"/>
    <n v="4950"/>
  </r>
  <r>
    <x v="7"/>
    <n v="13200"/>
  </r>
  <r>
    <x v="2"/>
    <n v="60"/>
  </r>
  <r>
    <x v="2"/>
    <n v="250"/>
  </r>
  <r>
    <x v="2"/>
    <n v="500"/>
  </r>
  <r>
    <x v="2"/>
    <n v="1500"/>
  </r>
  <r>
    <x v="2"/>
    <n v="2200"/>
  </r>
  <r>
    <x v="2"/>
    <n v="100"/>
  </r>
  <r>
    <x v="2"/>
    <n v="100"/>
  </r>
  <r>
    <x v="3"/>
    <n v="1200"/>
  </r>
  <r>
    <x v="0"/>
    <m/>
  </r>
  <r>
    <x v="1"/>
    <n v="6750"/>
  </r>
  <r>
    <x v="2"/>
    <n v="100"/>
  </r>
  <r>
    <x v="2"/>
    <n v="600"/>
  </r>
  <r>
    <x v="2"/>
    <n v="2000"/>
  </r>
  <r>
    <x v="6"/>
    <n v="4950"/>
  </r>
  <r>
    <x v="7"/>
    <n v="13200"/>
  </r>
  <r>
    <x v="2"/>
    <n v="60"/>
  </r>
  <r>
    <x v="2"/>
    <n v="100"/>
  </r>
  <r>
    <x v="2"/>
    <n v="500"/>
  </r>
  <r>
    <x v="2"/>
    <n v="1500"/>
  </r>
  <r>
    <x v="2"/>
    <n v="2200"/>
  </r>
  <r>
    <x v="2"/>
    <n v="100"/>
  </r>
  <r>
    <x v="2"/>
    <n v="100"/>
  </r>
  <r>
    <x v="3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15F80-554E-46E8-AA96-3F45607893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112:AS115" firstHeaderRow="1" firstDataRow="1" firstDataCol="1"/>
  <pivotFields count="2">
    <pivotField axis="axisRow" showAll="0">
      <items count="9">
        <item h="1" x="2"/>
        <item x="7"/>
        <item h="1" x="3"/>
        <item h="1" x="6"/>
        <item x="1"/>
        <item h="1" x="4"/>
        <item h="1" x="5"/>
        <item h="1" x="0"/>
        <item t="default"/>
      </items>
    </pivotField>
    <pivotField dataField="1" showAll="0"/>
  </pivotFields>
  <rowFields count="1">
    <field x="0"/>
  </rowFields>
  <rowItems count="3">
    <i>
      <x v="1"/>
    </i>
    <i>
      <x v="4"/>
    </i>
    <i t="grand">
      <x/>
    </i>
  </rowItems>
  <colItems count="1">
    <i/>
  </colItems>
  <dataFields count="1">
    <dataField name="Sum of Total Length in meter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8477-46EE-4183-987C-871A53BAE5F3}">
  <sheetPr>
    <pageSetUpPr fitToPage="1"/>
  </sheetPr>
  <dimension ref="A1:AT129"/>
  <sheetViews>
    <sheetView tabSelected="1" view="pageBreakPreview" zoomScale="70" zoomScaleNormal="70" zoomScaleSheetLayoutView="70" zoomScalePageLayoutView="70" workbookViewId="0">
      <selection activeCell="A86" sqref="A86:XFD86"/>
    </sheetView>
  </sheetViews>
  <sheetFormatPr defaultColWidth="9.140625" defaultRowHeight="15"/>
  <cols>
    <col min="1" max="1" width="7.7109375" style="33" customWidth="1"/>
    <col min="2" max="2" width="45.7109375" style="2" customWidth="1"/>
    <col min="3" max="3" width="8.7109375" style="2" customWidth="1"/>
    <col min="4" max="4" width="12.85546875" style="2" customWidth="1"/>
    <col min="5" max="5" width="11.42578125" style="2" customWidth="1"/>
    <col min="6" max="8" width="8.7109375" style="2" customWidth="1"/>
    <col min="9" max="9" width="10.7109375" style="95" customWidth="1"/>
    <col min="10" max="11" width="10.7109375" style="2" customWidth="1"/>
    <col min="12" max="14" width="13.7109375" style="2" customWidth="1"/>
    <col min="15" max="15" width="11.28515625" style="2" customWidth="1"/>
    <col min="16" max="16" width="7.7109375" style="2" customWidth="1"/>
    <col min="17" max="17" width="8.7109375" style="2" customWidth="1"/>
    <col min="18" max="20" width="10.7109375" style="2" customWidth="1"/>
    <col min="21" max="21" width="8.7109375" style="2" customWidth="1"/>
    <col min="22" max="22" width="13.7109375" style="2" customWidth="1"/>
    <col min="23" max="23" width="10.7109375" style="2" customWidth="1"/>
    <col min="24" max="24" width="11.85546875" style="2" customWidth="1"/>
    <col min="25" max="25" width="12.7109375" style="2" customWidth="1"/>
    <col min="26" max="26" width="13" style="2" customWidth="1"/>
    <col min="27" max="27" width="10.7109375" style="2" customWidth="1"/>
    <col min="28" max="28" width="10.7109375" style="95" customWidth="1"/>
    <col min="29" max="29" width="8.7109375" style="2" customWidth="1"/>
    <col min="30" max="30" width="10" style="2" bestFit="1" customWidth="1"/>
    <col min="31" max="31" width="11.140625" style="2" customWidth="1"/>
    <col min="32" max="32" width="8.7109375" style="2" customWidth="1"/>
    <col min="33" max="33" width="10.7109375" style="2" customWidth="1"/>
    <col min="34" max="34" width="13.28515625" style="2" customWidth="1"/>
    <col min="35" max="35" width="8.7109375" style="2" customWidth="1"/>
    <col min="36" max="36" width="10.7109375" style="2" customWidth="1"/>
    <col min="37" max="37" width="32.85546875" style="2" bestFit="1" customWidth="1"/>
    <col min="38" max="38" width="10.7109375" style="2" customWidth="1"/>
    <col min="39" max="39" width="39.85546875" style="2" customWidth="1"/>
    <col min="40" max="41" width="15.28515625" style="2" customWidth="1"/>
    <col min="42" max="42" width="9.140625" style="2"/>
    <col min="43" max="43" width="9.85546875" style="2" customWidth="1"/>
    <col min="44" max="44" width="25.85546875" style="2" bestFit="1" customWidth="1"/>
    <col min="45" max="45" width="34" style="2" bestFit="1" customWidth="1"/>
    <col min="46" max="16384" width="9.140625" style="2"/>
  </cols>
  <sheetData>
    <row r="1" spans="1:45" s="32" customFormat="1" ht="49.9" customHeight="1">
      <c r="A1" s="154"/>
      <c r="B1" s="155"/>
      <c r="C1" s="158" t="s">
        <v>171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44"/>
      <c r="AL1" s="140"/>
      <c r="AM1" s="141"/>
      <c r="AN1" s="144" t="s">
        <v>87</v>
      </c>
      <c r="AO1" s="145"/>
    </row>
    <row r="2" spans="1:45" ht="49.9" customHeight="1">
      <c r="A2" s="156"/>
      <c r="B2" s="157"/>
      <c r="C2" s="148" t="s">
        <v>102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50"/>
      <c r="AL2" s="142"/>
      <c r="AM2" s="143"/>
      <c r="AN2" s="146"/>
      <c r="AO2" s="147"/>
    </row>
    <row r="3" spans="1:45" ht="39.950000000000003" customHeight="1">
      <c r="A3" s="151" t="s">
        <v>5</v>
      </c>
      <c r="B3" s="152" t="s">
        <v>7</v>
      </c>
      <c r="C3" s="153" t="s">
        <v>12</v>
      </c>
      <c r="D3" s="153"/>
      <c r="E3" s="153"/>
      <c r="F3" s="153"/>
      <c r="G3" s="153"/>
      <c r="H3" s="153"/>
      <c r="I3" s="153"/>
      <c r="J3" s="153"/>
      <c r="K3" s="153"/>
      <c r="L3" s="152" t="s">
        <v>14</v>
      </c>
      <c r="M3" s="152"/>
      <c r="N3" s="152"/>
      <c r="O3" s="24"/>
      <c r="P3" s="152" t="s">
        <v>15</v>
      </c>
      <c r="Q3" s="152"/>
      <c r="R3" s="152"/>
      <c r="S3" s="152"/>
      <c r="T3" s="152"/>
      <c r="U3" s="152"/>
      <c r="V3" s="152" t="s">
        <v>35</v>
      </c>
      <c r="W3" s="152"/>
      <c r="X3" s="152"/>
      <c r="Y3" s="152"/>
      <c r="Z3" s="152"/>
      <c r="AA3" s="152"/>
      <c r="AB3" s="152"/>
      <c r="AC3" s="152"/>
      <c r="AD3" s="152"/>
      <c r="AE3" s="152" t="s">
        <v>38</v>
      </c>
      <c r="AF3" s="152"/>
      <c r="AG3" s="152"/>
      <c r="AH3" s="152" t="s">
        <v>39</v>
      </c>
      <c r="AI3" s="152"/>
      <c r="AJ3" s="152"/>
      <c r="AK3" s="152" t="s">
        <v>71</v>
      </c>
      <c r="AL3" s="152" t="s">
        <v>6</v>
      </c>
      <c r="AM3" s="163" t="s">
        <v>1</v>
      </c>
      <c r="AN3" s="160" t="s">
        <v>88</v>
      </c>
      <c r="AO3" s="152" t="s">
        <v>89</v>
      </c>
    </row>
    <row r="4" spans="1:45" ht="78" customHeight="1">
      <c r="A4" s="151"/>
      <c r="B4" s="152"/>
      <c r="C4" s="24" t="s">
        <v>46</v>
      </c>
      <c r="D4" s="152" t="s">
        <v>22</v>
      </c>
      <c r="E4" s="152"/>
      <c r="F4" s="24" t="s">
        <v>23</v>
      </c>
      <c r="G4" s="24" t="s">
        <v>8</v>
      </c>
      <c r="H4" s="24" t="s">
        <v>9</v>
      </c>
      <c r="I4" s="24" t="s">
        <v>25</v>
      </c>
      <c r="J4" s="24" t="s">
        <v>10</v>
      </c>
      <c r="K4" s="24" t="s">
        <v>11</v>
      </c>
      <c r="L4" s="24" t="s">
        <v>27</v>
      </c>
      <c r="M4" s="24" t="s">
        <v>29</v>
      </c>
      <c r="N4" s="24" t="s">
        <v>31</v>
      </c>
      <c r="O4" s="152" t="s">
        <v>17</v>
      </c>
      <c r="P4" s="152" t="s">
        <v>16</v>
      </c>
      <c r="Q4" s="24" t="s">
        <v>3</v>
      </c>
      <c r="R4" s="24" t="s">
        <v>0</v>
      </c>
      <c r="S4" s="24" t="s">
        <v>68</v>
      </c>
      <c r="T4" s="24" t="s">
        <v>80</v>
      </c>
      <c r="U4" s="24" t="s">
        <v>33</v>
      </c>
      <c r="V4" s="161" t="s">
        <v>2</v>
      </c>
      <c r="W4" s="162"/>
      <c r="X4" s="162"/>
      <c r="Y4" s="162"/>
      <c r="Z4" s="162"/>
      <c r="AA4" s="160"/>
      <c r="AB4" s="24" t="s">
        <v>36</v>
      </c>
      <c r="AC4" s="152" t="s">
        <v>138</v>
      </c>
      <c r="AD4" s="152" t="s">
        <v>19</v>
      </c>
      <c r="AE4" s="152" t="s">
        <v>69</v>
      </c>
      <c r="AF4" s="152" t="s">
        <v>20</v>
      </c>
      <c r="AG4" s="152" t="s">
        <v>21</v>
      </c>
      <c r="AH4" s="152" t="s">
        <v>69</v>
      </c>
      <c r="AI4" s="152" t="s">
        <v>20</v>
      </c>
      <c r="AJ4" s="152" t="s">
        <v>21</v>
      </c>
      <c r="AK4" s="152"/>
      <c r="AL4" s="152"/>
      <c r="AM4" s="163"/>
      <c r="AN4" s="160"/>
      <c r="AO4" s="152"/>
      <c r="AQ4" s="2" t="s">
        <v>66</v>
      </c>
      <c r="AR4" s="2" t="s">
        <v>56</v>
      </c>
      <c r="AS4" s="2">
        <v>185</v>
      </c>
    </row>
    <row r="5" spans="1:45" s="7" customFormat="1" ht="60" customHeight="1">
      <c r="A5" s="151"/>
      <c r="B5" s="152"/>
      <c r="C5" s="18"/>
      <c r="D5" s="24" t="s">
        <v>62</v>
      </c>
      <c r="E5" s="24" t="s">
        <v>63</v>
      </c>
      <c r="F5" s="24" t="s">
        <v>24</v>
      </c>
      <c r="G5" s="24"/>
      <c r="H5" s="24"/>
      <c r="I5" s="24" t="s">
        <v>26</v>
      </c>
      <c r="J5" s="24" t="s">
        <v>26</v>
      </c>
      <c r="K5" s="18"/>
      <c r="L5" s="24" t="s">
        <v>28</v>
      </c>
      <c r="M5" s="24" t="s">
        <v>30</v>
      </c>
      <c r="N5" s="24" t="s">
        <v>32</v>
      </c>
      <c r="O5" s="152"/>
      <c r="P5" s="152"/>
      <c r="Q5" s="24" t="s">
        <v>32</v>
      </c>
      <c r="R5" s="24" t="s">
        <v>26</v>
      </c>
      <c r="S5" s="24" t="s">
        <v>40</v>
      </c>
      <c r="T5" s="24" t="s">
        <v>40</v>
      </c>
      <c r="U5" s="24" t="s">
        <v>34</v>
      </c>
      <c r="V5" s="24" t="s">
        <v>13</v>
      </c>
      <c r="W5" s="24" t="s">
        <v>4</v>
      </c>
      <c r="X5" s="24" t="s">
        <v>44</v>
      </c>
      <c r="Y5" s="24" t="s">
        <v>45</v>
      </c>
      <c r="Z5" s="24" t="s">
        <v>43</v>
      </c>
      <c r="AA5" s="24" t="s">
        <v>37</v>
      </c>
      <c r="AB5" s="24" t="s">
        <v>26</v>
      </c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63"/>
      <c r="AN5" s="160"/>
      <c r="AO5" s="152"/>
      <c r="AQ5" s="2" t="s">
        <v>73</v>
      </c>
      <c r="AR5" s="7" t="s">
        <v>57</v>
      </c>
      <c r="AS5" s="42">
        <v>240</v>
      </c>
    </row>
    <row r="6" spans="1:45" ht="20.100000000000001" customHeight="1" thickBot="1">
      <c r="A6" s="51" t="s">
        <v>106</v>
      </c>
      <c r="B6" s="52"/>
      <c r="C6" s="53"/>
      <c r="D6" s="53"/>
      <c r="E6" s="53"/>
      <c r="F6" s="53"/>
      <c r="G6" s="54"/>
      <c r="H6" s="54"/>
      <c r="I6" s="98"/>
      <c r="J6" s="54"/>
      <c r="K6" s="54"/>
      <c r="L6" s="54"/>
      <c r="M6" s="54"/>
      <c r="N6" s="54"/>
      <c r="O6" s="53"/>
      <c r="P6" s="54"/>
      <c r="Q6" s="55"/>
      <c r="R6" s="53"/>
      <c r="S6" s="56"/>
      <c r="T6" s="53"/>
      <c r="U6" s="53"/>
      <c r="V6" s="53"/>
      <c r="W6" s="53"/>
      <c r="X6" s="53"/>
      <c r="Y6" s="53"/>
      <c r="Z6" s="53"/>
      <c r="AA6" s="56"/>
      <c r="AB6" s="99"/>
      <c r="AC6" s="57"/>
      <c r="AD6" s="54"/>
      <c r="AE6" s="56"/>
      <c r="AF6" s="56"/>
      <c r="AG6" s="53"/>
      <c r="AH6" s="56"/>
      <c r="AI6" s="56"/>
      <c r="AJ6" s="56"/>
      <c r="AK6" s="56"/>
      <c r="AL6" s="57"/>
      <c r="AM6" s="73"/>
      <c r="AN6" s="30"/>
      <c r="AO6" s="20"/>
      <c r="AQ6" s="2" t="s">
        <v>67</v>
      </c>
      <c r="AS6" s="2">
        <v>300</v>
      </c>
    </row>
    <row r="7" spans="1:45" ht="39.950000000000003" customHeight="1" thickBot="1">
      <c r="A7" s="89"/>
      <c r="B7" s="90" t="s">
        <v>104</v>
      </c>
      <c r="C7" s="83"/>
      <c r="D7" s="83"/>
      <c r="E7" s="83"/>
      <c r="F7" s="83"/>
      <c r="G7" s="84"/>
      <c r="H7" s="84"/>
      <c r="I7" s="84"/>
      <c r="J7" s="84"/>
      <c r="K7" s="84"/>
      <c r="L7" s="84"/>
      <c r="M7" s="84"/>
      <c r="N7" s="84"/>
      <c r="O7" s="83"/>
      <c r="P7" s="84"/>
      <c r="Q7" s="85"/>
      <c r="R7" s="83"/>
      <c r="S7" s="86"/>
      <c r="T7" s="83"/>
      <c r="U7" s="83"/>
      <c r="V7" s="83"/>
      <c r="W7" s="83"/>
      <c r="X7" s="83"/>
      <c r="Y7" s="83"/>
      <c r="Z7" s="83"/>
      <c r="AA7" s="86"/>
      <c r="AB7" s="84"/>
      <c r="AC7" s="87"/>
      <c r="AD7" s="84"/>
      <c r="AE7" s="86"/>
      <c r="AF7" s="86"/>
      <c r="AG7" s="83"/>
      <c r="AH7" s="86"/>
      <c r="AI7" s="86"/>
      <c r="AJ7" s="86"/>
      <c r="AK7" s="86"/>
      <c r="AL7" s="87"/>
      <c r="AM7" s="88"/>
      <c r="AN7" s="41"/>
      <c r="AO7" s="40"/>
      <c r="AS7" s="2">
        <v>400</v>
      </c>
    </row>
    <row r="8" spans="1:45" ht="39.950000000000003" customHeight="1">
      <c r="A8" s="58">
        <v>1</v>
      </c>
      <c r="B8" s="59" t="s">
        <v>143</v>
      </c>
      <c r="C8" s="60" t="s">
        <v>47</v>
      </c>
      <c r="D8" s="61"/>
      <c r="E8" s="60">
        <v>2450</v>
      </c>
      <c r="F8" s="60">
        <v>11</v>
      </c>
      <c r="G8" s="62">
        <v>0.85</v>
      </c>
      <c r="H8" s="62">
        <v>0.92</v>
      </c>
      <c r="I8" s="62">
        <f t="shared" ref="I8:I20" si="0">IF(D8="",(E8/(1.732*F8*G8*H8)),(D8/(1.732*F8)))</f>
        <v>164.44427500344997</v>
      </c>
      <c r="J8" s="62">
        <f>IF(C8="M",7.2*I8,0)</f>
        <v>1183.9987800248398</v>
      </c>
      <c r="K8" s="62">
        <f t="shared" ref="K8:K20" si="1">IF(C8="M",0.2,0)</f>
        <v>0.2</v>
      </c>
      <c r="L8" s="62">
        <v>50</v>
      </c>
      <c r="M8" s="62">
        <v>0.16</v>
      </c>
      <c r="N8" s="62">
        <f t="shared" ref="N8:N20" si="2">(L8*1000*SQRT(M8)/94)</f>
        <v>212.7659574468085</v>
      </c>
      <c r="O8" s="60" t="s">
        <v>66</v>
      </c>
      <c r="P8" s="62" t="s">
        <v>57</v>
      </c>
      <c r="Q8" s="63">
        <v>240</v>
      </c>
      <c r="R8" s="60">
        <v>387</v>
      </c>
      <c r="S8" s="64">
        <v>0.16200000000000001</v>
      </c>
      <c r="T8" s="64">
        <v>8.7999999999999995E-2</v>
      </c>
      <c r="U8" s="60">
        <v>475</v>
      </c>
      <c r="V8" s="60">
        <v>0.89</v>
      </c>
      <c r="W8" s="60">
        <v>0.73</v>
      </c>
      <c r="X8" s="60" t="s">
        <v>142</v>
      </c>
      <c r="Y8" s="60">
        <v>0</v>
      </c>
      <c r="Z8" s="60">
        <v>0</v>
      </c>
      <c r="AA8" s="64">
        <v>0.64969999999999994</v>
      </c>
      <c r="AB8" s="62">
        <f t="shared" ref="AB8:AB20" si="3">R8*AA8</f>
        <v>251.43389999999997</v>
      </c>
      <c r="AC8" s="65">
        <f>ROUNDUP(((I8)/AB8),0)</f>
        <v>1</v>
      </c>
      <c r="AD8" s="62" t="str">
        <f t="shared" ref="AD8:AD20" si="4">IF(AB8*AC8&gt;=I8,"YES","NO")</f>
        <v>YES</v>
      </c>
      <c r="AE8" s="64">
        <f t="shared" ref="AE8:AE20" si="5">IF(C8="M",(SQRT(3)*I8*(U8/1000)*((S8/AC8)*G8+(T8/AC8)*SIN(ACOS(G8)))),(SQRT(3)*I8*(U8/1000)*((S8/AC8)*G8+(T8/AC8)*SIN(ACOS(G8)))))</f>
        <v>24.90147330925285</v>
      </c>
      <c r="AF8" s="64">
        <f t="shared" ref="AF8:AF20" si="6">(AE8/(F8*1000))*100</f>
        <v>0.22637703008411683</v>
      </c>
      <c r="AG8" s="60" t="str">
        <f t="shared" ref="AG8:AG20" si="7">IF(C8="I",IF(AF8&lt;=2,"YES","NO"),IF(AF8&lt;=3,"YES","NO"))</f>
        <v>YES</v>
      </c>
      <c r="AH8" s="64">
        <f t="shared" ref="AH8:AH20" si="8">IF(C8="M",(SQRT(3)*J8*(U8/1000)*((S8/AC8)*K8+(T8/AC8)*SIN(ACOS(K8)))),"NA")</f>
        <v>115.55024657177231</v>
      </c>
      <c r="AI8" s="64">
        <f t="shared" ref="AI8:AI20" si="9">IF(C8="M",(AH8/(F8*1000))*100,"NA")</f>
        <v>1.0504567870161119</v>
      </c>
      <c r="AJ8" s="64" t="str">
        <f>IF(C8="M",IF(AI8&lt;=10,"YES","NO"),"NA")</f>
        <v>YES</v>
      </c>
      <c r="AK8" s="64" t="str">
        <f t="shared" ref="AK8:AK20" si="10">IF(C8="M",IF(AND(Q8&gt;=N8,AD8="YES",AG8="YES",AJ8="YES"),CONCATENATE(AC8,"R X ",F8,"kV X ",P8," X ",Q8," Sqmm"),"Cable size is not correct"),IF(AND(Q8&gt;=N8,AD8="YES",AG8="YES",AJ8="NA"),CONCATENATE(AC8,"R X ",F8,"kV X ",P8," X ",Q8," Sqmm"),"Cable size is not correct"))</f>
        <v>1R X 11kV X 3C X 240 Sqmm</v>
      </c>
      <c r="AL8" s="65">
        <f>IF(P8="1C",3*U8*AC8,U8*AC8)</f>
        <v>475</v>
      </c>
      <c r="AM8" s="74"/>
      <c r="AN8" s="30">
        <f t="shared" ref="AN8:AN77" si="11">AC8*2</f>
        <v>2</v>
      </c>
      <c r="AO8" s="20"/>
      <c r="AS8" s="2">
        <v>500</v>
      </c>
    </row>
    <row r="9" spans="1:45" s="42" customFormat="1" ht="39.950000000000003" customHeight="1">
      <c r="A9" s="46">
        <v>2</v>
      </c>
      <c r="B9" s="45" t="s">
        <v>144</v>
      </c>
      <c r="C9" s="19" t="s">
        <v>47</v>
      </c>
      <c r="D9" s="19"/>
      <c r="E9" s="19">
        <v>3900</v>
      </c>
      <c r="F9" s="19">
        <v>11</v>
      </c>
      <c r="G9" s="62">
        <v>0.88</v>
      </c>
      <c r="H9" s="62">
        <v>0.95</v>
      </c>
      <c r="I9" s="20">
        <f t="shared" si="0"/>
        <v>244.85995015404831</v>
      </c>
      <c r="J9" s="20">
        <f t="shared" ref="J9:J20" si="12">IF(C9="M",7.2*I9,0)</f>
        <v>1762.9916411091478</v>
      </c>
      <c r="K9" s="20">
        <f t="shared" si="1"/>
        <v>0.2</v>
      </c>
      <c r="L9" s="20">
        <v>50</v>
      </c>
      <c r="M9" s="20">
        <v>0.16</v>
      </c>
      <c r="N9" s="20">
        <f t="shared" si="2"/>
        <v>212.7659574468085</v>
      </c>
      <c r="O9" s="19" t="s">
        <v>66</v>
      </c>
      <c r="P9" s="20" t="s">
        <v>57</v>
      </c>
      <c r="Q9" s="21">
        <v>300</v>
      </c>
      <c r="R9" s="19">
        <v>441</v>
      </c>
      <c r="S9" s="22">
        <v>0.13</v>
      </c>
      <c r="T9" s="22">
        <v>8.5999999999999993E-2</v>
      </c>
      <c r="U9" s="19">
        <v>500</v>
      </c>
      <c r="V9" s="19">
        <v>0.89</v>
      </c>
      <c r="W9" s="19">
        <v>0.73</v>
      </c>
      <c r="X9" s="19" t="s">
        <v>142</v>
      </c>
      <c r="Y9" s="19">
        <v>0</v>
      </c>
      <c r="Z9" s="19">
        <v>0</v>
      </c>
      <c r="AA9" s="22">
        <v>0.64969999999999994</v>
      </c>
      <c r="AB9" s="20">
        <f t="shared" si="3"/>
        <v>286.51769999999999</v>
      </c>
      <c r="AC9" s="23">
        <f t="shared" ref="AC9:AC20" si="13">ROUNDUP(((I9)/AB9),0)</f>
        <v>1</v>
      </c>
      <c r="AD9" s="20" t="str">
        <f t="shared" si="4"/>
        <v>YES</v>
      </c>
      <c r="AE9" s="22">
        <f t="shared" si="5"/>
        <v>32.921049073634265</v>
      </c>
      <c r="AF9" s="22">
        <f t="shared" si="6"/>
        <v>0.29928226430576604</v>
      </c>
      <c r="AG9" s="19" t="str">
        <f t="shared" si="7"/>
        <v>YES</v>
      </c>
      <c r="AH9" s="22">
        <f t="shared" si="8"/>
        <v>168.34821340744261</v>
      </c>
      <c r="AI9" s="22">
        <f t="shared" si="9"/>
        <v>1.5304383037040239</v>
      </c>
      <c r="AJ9" s="22" t="str">
        <f t="shared" ref="AJ9:AJ20" si="14">IF(C9="M",IF(AI9&lt;=10,"YES","NO"),"NA")</f>
        <v>YES</v>
      </c>
      <c r="AK9" s="22" t="str">
        <f t="shared" si="10"/>
        <v>1R X 11kV X 3C X 300 Sqmm</v>
      </c>
      <c r="AL9" s="23">
        <f t="shared" ref="AL9:AL20" si="15">IF(P9="1C",3*U9*AC9,U9*AC9)</f>
        <v>500</v>
      </c>
      <c r="AM9" s="31"/>
      <c r="AN9" s="30">
        <f t="shared" si="11"/>
        <v>2</v>
      </c>
      <c r="AO9" s="20"/>
      <c r="AS9" s="2">
        <v>630</v>
      </c>
    </row>
    <row r="10" spans="1:45" s="112" customFormat="1" ht="39.950000000000003" customHeight="1">
      <c r="A10" s="102">
        <v>3</v>
      </c>
      <c r="B10" s="103" t="s">
        <v>120</v>
      </c>
      <c r="C10" s="104" t="s">
        <v>47</v>
      </c>
      <c r="D10" s="104"/>
      <c r="E10" s="104">
        <v>4325</v>
      </c>
      <c r="F10" s="104">
        <v>11</v>
      </c>
      <c r="G10" s="105">
        <v>0.77</v>
      </c>
      <c r="H10" s="105">
        <v>0.94499999999999995</v>
      </c>
      <c r="I10" s="106">
        <f t="shared" si="0"/>
        <v>311.97730726839035</v>
      </c>
      <c r="J10" s="106">
        <f t="shared" si="12"/>
        <v>2246.2366123324105</v>
      </c>
      <c r="K10" s="106">
        <f t="shared" si="1"/>
        <v>0.2</v>
      </c>
      <c r="L10" s="106">
        <v>50</v>
      </c>
      <c r="M10" s="106">
        <v>0.16</v>
      </c>
      <c r="N10" s="106">
        <f t="shared" si="2"/>
        <v>212.7659574468085</v>
      </c>
      <c r="O10" s="104" t="s">
        <v>66</v>
      </c>
      <c r="P10" s="106" t="s">
        <v>56</v>
      </c>
      <c r="Q10" s="107">
        <v>300</v>
      </c>
      <c r="R10" s="104">
        <v>387</v>
      </c>
      <c r="S10" s="108">
        <v>0.16200000000000001</v>
      </c>
      <c r="T10" s="108">
        <v>8.7999999999999995E-2</v>
      </c>
      <c r="U10" s="104">
        <v>750</v>
      </c>
      <c r="V10" s="104">
        <v>0.89</v>
      </c>
      <c r="W10" s="104">
        <v>0.73</v>
      </c>
      <c r="X10" s="104" t="s">
        <v>142</v>
      </c>
      <c r="Y10" s="104">
        <v>0</v>
      </c>
      <c r="Z10" s="104">
        <v>0</v>
      </c>
      <c r="AA10" s="108">
        <v>0.64969999999999994</v>
      </c>
      <c r="AB10" s="106">
        <f t="shared" si="3"/>
        <v>251.43389999999997</v>
      </c>
      <c r="AC10" s="109">
        <v>2</v>
      </c>
      <c r="AD10" s="106" t="str">
        <f t="shared" si="4"/>
        <v>YES</v>
      </c>
      <c r="AE10" s="108">
        <f t="shared" si="5"/>
        <v>36.654249007874924</v>
      </c>
      <c r="AF10" s="108">
        <f t="shared" si="6"/>
        <v>0.33322044552613567</v>
      </c>
      <c r="AG10" s="104" t="str">
        <f t="shared" si="7"/>
        <v>YES</v>
      </c>
      <c r="AH10" s="108">
        <f t="shared" si="8"/>
        <v>173.06640859712658</v>
      </c>
      <c r="AI10" s="108">
        <f t="shared" si="9"/>
        <v>1.5733309872466053</v>
      </c>
      <c r="AJ10" s="108" t="str">
        <f t="shared" si="14"/>
        <v>YES</v>
      </c>
      <c r="AK10" s="108" t="str">
        <f t="shared" si="10"/>
        <v>2R X 11kV X 1C X 300 Sqmm</v>
      </c>
      <c r="AL10" s="109">
        <f t="shared" si="15"/>
        <v>4500</v>
      </c>
      <c r="AM10" s="110"/>
      <c r="AN10" s="111">
        <f t="shared" si="11"/>
        <v>4</v>
      </c>
      <c r="AO10" s="106"/>
    </row>
    <row r="11" spans="1:45" ht="39.950000000000003" customHeight="1">
      <c r="A11" s="46">
        <v>4</v>
      </c>
      <c r="B11" s="45" t="s">
        <v>145</v>
      </c>
      <c r="C11" s="19" t="s">
        <v>47</v>
      </c>
      <c r="D11" s="19"/>
      <c r="E11" s="19">
        <v>11350</v>
      </c>
      <c r="F11" s="19">
        <v>11</v>
      </c>
      <c r="G11" s="62">
        <v>0.85</v>
      </c>
      <c r="H11" s="62">
        <v>0.97</v>
      </c>
      <c r="I11" s="20">
        <f t="shared" si="0"/>
        <v>722.54454853188508</v>
      </c>
      <c r="J11" s="20">
        <f t="shared" si="12"/>
        <v>5202.320749429573</v>
      </c>
      <c r="K11" s="20">
        <f t="shared" si="1"/>
        <v>0.2</v>
      </c>
      <c r="L11" s="20">
        <v>50</v>
      </c>
      <c r="M11" s="20">
        <v>0.16</v>
      </c>
      <c r="N11" s="20">
        <f t="shared" si="2"/>
        <v>212.7659574468085</v>
      </c>
      <c r="O11" s="19" t="s">
        <v>66</v>
      </c>
      <c r="P11" s="20" t="s">
        <v>56</v>
      </c>
      <c r="Q11" s="21">
        <v>300</v>
      </c>
      <c r="R11" s="19">
        <v>575</v>
      </c>
      <c r="S11" s="22">
        <v>0.1018</v>
      </c>
      <c r="T11" s="22">
        <v>9.3700000000000006E-2</v>
      </c>
      <c r="U11" s="19">
        <v>410</v>
      </c>
      <c r="V11" s="19">
        <v>0.89</v>
      </c>
      <c r="W11" s="19">
        <v>0.78</v>
      </c>
      <c r="X11" s="19" t="s">
        <v>142</v>
      </c>
      <c r="Y11" s="19">
        <v>0</v>
      </c>
      <c r="Z11" s="19">
        <v>0</v>
      </c>
      <c r="AA11" s="22">
        <v>0.69420000000000004</v>
      </c>
      <c r="AB11" s="20">
        <f t="shared" si="3"/>
        <v>399.16500000000002</v>
      </c>
      <c r="AC11" s="23">
        <f t="shared" si="13"/>
        <v>2</v>
      </c>
      <c r="AD11" s="20" t="str">
        <f t="shared" si="4"/>
        <v>YES</v>
      </c>
      <c r="AE11" s="22">
        <f t="shared" si="5"/>
        <v>34.863030729491264</v>
      </c>
      <c r="AF11" s="22">
        <f t="shared" si="6"/>
        <v>0.31693664299537511</v>
      </c>
      <c r="AG11" s="19" t="str">
        <f t="shared" si="7"/>
        <v>YES</v>
      </c>
      <c r="AH11" s="22">
        <f t="shared" si="8"/>
        <v>207.19355221381022</v>
      </c>
      <c r="AI11" s="22">
        <f t="shared" si="9"/>
        <v>1.8835777473982747</v>
      </c>
      <c r="AJ11" s="22" t="str">
        <f t="shared" si="14"/>
        <v>YES</v>
      </c>
      <c r="AK11" s="22" t="str">
        <f t="shared" si="10"/>
        <v>2R X 11kV X 1C X 300 Sqmm</v>
      </c>
      <c r="AL11" s="23">
        <f>IF(P11="1C",3*U11*AC11,U11*AC11)</f>
        <v>2460</v>
      </c>
      <c r="AM11" s="47"/>
      <c r="AN11" s="30">
        <f t="shared" si="11"/>
        <v>4</v>
      </c>
      <c r="AO11" s="20"/>
    </row>
    <row r="12" spans="1:45" ht="39.950000000000003" customHeight="1">
      <c r="A12" s="46">
        <v>5</v>
      </c>
      <c r="B12" s="45" t="s">
        <v>121</v>
      </c>
      <c r="C12" s="19" t="s">
        <v>47</v>
      </c>
      <c r="D12" s="19"/>
      <c r="E12" s="19">
        <v>13000</v>
      </c>
      <c r="F12" s="19">
        <v>11</v>
      </c>
      <c r="G12" s="62">
        <v>0.85</v>
      </c>
      <c r="H12" s="62">
        <v>0.92</v>
      </c>
      <c r="I12" s="20">
        <f t="shared" si="0"/>
        <v>872.56145920197946</v>
      </c>
      <c r="J12" s="20">
        <f t="shared" si="12"/>
        <v>6282.4425062542523</v>
      </c>
      <c r="K12" s="20">
        <f t="shared" si="1"/>
        <v>0.2</v>
      </c>
      <c r="L12" s="20">
        <v>50</v>
      </c>
      <c r="M12" s="20">
        <v>0.16</v>
      </c>
      <c r="N12" s="20">
        <f t="shared" si="2"/>
        <v>212.7659574468085</v>
      </c>
      <c r="O12" s="19" t="s">
        <v>66</v>
      </c>
      <c r="P12" s="20" t="s">
        <v>56</v>
      </c>
      <c r="Q12" s="21">
        <v>400</v>
      </c>
      <c r="R12" s="19">
        <v>575</v>
      </c>
      <c r="S12" s="22">
        <v>0.1018</v>
      </c>
      <c r="T12" s="22">
        <v>9.3700000000000006E-2</v>
      </c>
      <c r="U12" s="19">
        <v>85</v>
      </c>
      <c r="V12" s="19">
        <v>0.89</v>
      </c>
      <c r="W12" s="19">
        <v>0.78</v>
      </c>
      <c r="X12" s="19" t="s">
        <v>142</v>
      </c>
      <c r="Y12" s="19">
        <v>0</v>
      </c>
      <c r="Z12" s="19">
        <v>0</v>
      </c>
      <c r="AA12" s="22">
        <v>0.69420000000000004</v>
      </c>
      <c r="AB12" s="20">
        <f t="shared" si="3"/>
        <v>399.16500000000002</v>
      </c>
      <c r="AC12" s="23">
        <v>3</v>
      </c>
      <c r="AD12" s="20" t="str">
        <f t="shared" si="4"/>
        <v>YES</v>
      </c>
      <c r="AE12" s="22">
        <f t="shared" si="5"/>
        <v>5.8188926657051372</v>
      </c>
      <c r="AF12" s="22">
        <f t="shared" si="6"/>
        <v>5.2899024233683062E-2</v>
      </c>
      <c r="AG12" s="19" t="str">
        <f t="shared" si="7"/>
        <v>YES</v>
      </c>
      <c r="AH12" s="22">
        <f t="shared" si="8"/>
        <v>34.582106493067002</v>
      </c>
      <c r="AI12" s="22">
        <f t="shared" si="9"/>
        <v>0.31438278630060912</v>
      </c>
      <c r="AJ12" s="22" t="str">
        <f t="shared" si="14"/>
        <v>YES</v>
      </c>
      <c r="AK12" s="22" t="str">
        <f t="shared" si="10"/>
        <v>3R X 11kV X 1C X 400 Sqmm</v>
      </c>
      <c r="AL12" s="23">
        <f t="shared" si="15"/>
        <v>765</v>
      </c>
      <c r="AM12" s="47"/>
      <c r="AN12" s="30">
        <f t="shared" si="11"/>
        <v>6</v>
      </c>
      <c r="AO12" s="20"/>
    </row>
    <row r="13" spans="1:45" ht="39.950000000000003" customHeight="1">
      <c r="A13" s="46">
        <v>6</v>
      </c>
      <c r="B13" s="45" t="s">
        <v>101</v>
      </c>
      <c r="C13" s="19" t="s">
        <v>81</v>
      </c>
      <c r="D13" s="19">
        <v>3000</v>
      </c>
      <c r="E13" s="48"/>
      <c r="F13" s="19">
        <v>11</v>
      </c>
      <c r="G13" s="20">
        <v>0.85</v>
      </c>
      <c r="H13" s="20">
        <v>0.92</v>
      </c>
      <c r="I13" s="20">
        <f t="shared" si="0"/>
        <v>157.46378332983414</v>
      </c>
      <c r="J13" s="20">
        <f t="shared" si="12"/>
        <v>0</v>
      </c>
      <c r="K13" s="20">
        <f t="shared" si="1"/>
        <v>0</v>
      </c>
      <c r="L13" s="20">
        <v>50</v>
      </c>
      <c r="M13" s="20">
        <v>0.16</v>
      </c>
      <c r="N13" s="20">
        <f t="shared" si="2"/>
        <v>212.7659574468085</v>
      </c>
      <c r="O13" s="19" t="s">
        <v>66</v>
      </c>
      <c r="P13" s="20" t="s">
        <v>57</v>
      </c>
      <c r="Q13" s="21">
        <v>240</v>
      </c>
      <c r="R13" s="19">
        <v>387</v>
      </c>
      <c r="S13" s="22">
        <v>0.16200000000000001</v>
      </c>
      <c r="T13" s="22">
        <v>8.7999999999999995E-2</v>
      </c>
      <c r="U13" s="19">
        <v>460</v>
      </c>
      <c r="V13" s="19">
        <v>0.89</v>
      </c>
      <c r="W13" s="19">
        <v>0.73</v>
      </c>
      <c r="X13" s="19" t="s">
        <v>142</v>
      </c>
      <c r="Y13" s="19">
        <v>0</v>
      </c>
      <c r="Z13" s="19">
        <v>0</v>
      </c>
      <c r="AA13" s="22">
        <v>0.64969999999999994</v>
      </c>
      <c r="AB13" s="20">
        <f t="shared" si="3"/>
        <v>251.43389999999997</v>
      </c>
      <c r="AC13" s="23">
        <f t="shared" si="13"/>
        <v>1</v>
      </c>
      <c r="AD13" s="20" t="str">
        <f t="shared" si="4"/>
        <v>YES</v>
      </c>
      <c r="AE13" s="22">
        <f t="shared" si="5"/>
        <v>23.091449139775133</v>
      </c>
      <c r="AF13" s="22">
        <f t="shared" si="6"/>
        <v>0.20992226490704666</v>
      </c>
      <c r="AG13" s="19" t="str">
        <f t="shared" si="7"/>
        <v>YES</v>
      </c>
      <c r="AH13" s="22" t="str">
        <f t="shared" si="8"/>
        <v>NA</v>
      </c>
      <c r="AI13" s="22" t="str">
        <f t="shared" si="9"/>
        <v>NA</v>
      </c>
      <c r="AJ13" s="22" t="str">
        <f t="shared" si="14"/>
        <v>NA</v>
      </c>
      <c r="AK13" s="22" t="str">
        <f t="shared" si="10"/>
        <v>1R X 11kV X 3C X 240 Sqmm</v>
      </c>
      <c r="AL13" s="23">
        <f t="shared" si="15"/>
        <v>460</v>
      </c>
      <c r="AM13" s="47"/>
      <c r="AN13" s="30">
        <f t="shared" si="11"/>
        <v>2</v>
      </c>
      <c r="AO13" s="20"/>
    </row>
    <row r="14" spans="1:45" ht="39.950000000000003" customHeight="1">
      <c r="A14" s="46">
        <v>7</v>
      </c>
      <c r="B14" s="45" t="s">
        <v>97</v>
      </c>
      <c r="C14" s="19" t="s">
        <v>81</v>
      </c>
      <c r="D14" s="19">
        <v>2500</v>
      </c>
      <c r="E14" s="19"/>
      <c r="F14" s="19">
        <v>11</v>
      </c>
      <c r="G14" s="20">
        <v>0.85</v>
      </c>
      <c r="H14" s="20">
        <v>0.92</v>
      </c>
      <c r="I14" s="20">
        <f t="shared" si="0"/>
        <v>131.21981944152844</v>
      </c>
      <c r="J14" s="20">
        <f t="shared" si="12"/>
        <v>0</v>
      </c>
      <c r="K14" s="20">
        <f t="shared" si="1"/>
        <v>0</v>
      </c>
      <c r="L14" s="20">
        <v>50</v>
      </c>
      <c r="M14" s="20">
        <v>0.16</v>
      </c>
      <c r="N14" s="20">
        <f t="shared" si="2"/>
        <v>212.7659574468085</v>
      </c>
      <c r="O14" s="19" t="s">
        <v>66</v>
      </c>
      <c r="P14" s="20" t="s">
        <v>57</v>
      </c>
      <c r="Q14" s="21">
        <v>240</v>
      </c>
      <c r="R14" s="19">
        <v>387</v>
      </c>
      <c r="S14" s="22">
        <v>0.16200000000000001</v>
      </c>
      <c r="T14" s="22">
        <v>8.7999999999999995E-2</v>
      </c>
      <c r="U14" s="19">
        <v>470</v>
      </c>
      <c r="V14" s="19">
        <v>0.89</v>
      </c>
      <c r="W14" s="19">
        <v>0.73</v>
      </c>
      <c r="X14" s="19" t="s">
        <v>142</v>
      </c>
      <c r="Y14" s="19">
        <v>0</v>
      </c>
      <c r="Z14" s="19">
        <v>0</v>
      </c>
      <c r="AA14" s="22">
        <v>0.64969999999999994</v>
      </c>
      <c r="AB14" s="20">
        <f t="shared" si="3"/>
        <v>251.43389999999997</v>
      </c>
      <c r="AC14" s="23">
        <f t="shared" si="13"/>
        <v>1</v>
      </c>
      <c r="AD14" s="20" t="str">
        <f t="shared" si="4"/>
        <v>YES</v>
      </c>
      <c r="AE14" s="22">
        <f t="shared" si="5"/>
        <v>19.661197637127373</v>
      </c>
      <c r="AF14" s="22">
        <f t="shared" si="6"/>
        <v>0.17873816033752157</v>
      </c>
      <c r="AG14" s="19" t="str">
        <f t="shared" si="7"/>
        <v>YES</v>
      </c>
      <c r="AH14" s="22" t="str">
        <f t="shared" si="8"/>
        <v>NA</v>
      </c>
      <c r="AI14" s="22" t="str">
        <f t="shared" si="9"/>
        <v>NA</v>
      </c>
      <c r="AJ14" s="22" t="str">
        <f t="shared" si="14"/>
        <v>NA</v>
      </c>
      <c r="AK14" s="22" t="str">
        <f t="shared" si="10"/>
        <v>1R X 11kV X 3C X 240 Sqmm</v>
      </c>
      <c r="AL14" s="23">
        <f t="shared" si="15"/>
        <v>470</v>
      </c>
      <c r="AM14" s="31"/>
      <c r="AN14" s="30">
        <f t="shared" si="11"/>
        <v>2</v>
      </c>
      <c r="AO14" s="20"/>
    </row>
    <row r="15" spans="1:45" ht="39.950000000000003" customHeight="1">
      <c r="A15" s="46">
        <v>8</v>
      </c>
      <c r="B15" s="45" t="s">
        <v>98</v>
      </c>
      <c r="C15" s="19" t="s">
        <v>81</v>
      </c>
      <c r="D15" s="19">
        <v>3150</v>
      </c>
      <c r="E15" s="48"/>
      <c r="F15" s="19">
        <v>11</v>
      </c>
      <c r="G15" s="20">
        <v>0.85</v>
      </c>
      <c r="H15" s="20">
        <v>0.92</v>
      </c>
      <c r="I15" s="20">
        <f t="shared" si="0"/>
        <v>165.33697249632584</v>
      </c>
      <c r="J15" s="20">
        <f t="shared" si="12"/>
        <v>0</v>
      </c>
      <c r="K15" s="20">
        <f t="shared" si="1"/>
        <v>0</v>
      </c>
      <c r="L15" s="20">
        <v>50</v>
      </c>
      <c r="M15" s="20">
        <v>0.16</v>
      </c>
      <c r="N15" s="20">
        <f t="shared" si="2"/>
        <v>212.7659574468085</v>
      </c>
      <c r="O15" s="19" t="s">
        <v>66</v>
      </c>
      <c r="P15" s="20" t="s">
        <v>57</v>
      </c>
      <c r="Q15" s="21">
        <v>240</v>
      </c>
      <c r="R15" s="19">
        <v>387</v>
      </c>
      <c r="S15" s="22">
        <v>0.16200000000000001</v>
      </c>
      <c r="T15" s="22">
        <v>8.7999999999999995E-2</v>
      </c>
      <c r="U15" s="19">
        <v>460</v>
      </c>
      <c r="V15" s="19">
        <v>0.89</v>
      </c>
      <c r="W15" s="19">
        <v>0.73</v>
      </c>
      <c r="X15" s="19" t="s">
        <v>142</v>
      </c>
      <c r="Y15" s="19">
        <v>0</v>
      </c>
      <c r="Z15" s="19">
        <v>0</v>
      </c>
      <c r="AA15" s="22">
        <v>0.64969999999999994</v>
      </c>
      <c r="AB15" s="20">
        <f t="shared" si="3"/>
        <v>251.43389999999997</v>
      </c>
      <c r="AC15" s="23">
        <f t="shared" si="13"/>
        <v>1</v>
      </c>
      <c r="AD15" s="20" t="str">
        <f t="shared" si="4"/>
        <v>YES</v>
      </c>
      <c r="AE15" s="22">
        <f t="shared" si="5"/>
        <v>24.246021596763889</v>
      </c>
      <c r="AF15" s="22">
        <f t="shared" si="6"/>
        <v>0.22041837815239898</v>
      </c>
      <c r="AG15" s="19" t="str">
        <f t="shared" si="7"/>
        <v>YES</v>
      </c>
      <c r="AH15" s="22" t="str">
        <f t="shared" si="8"/>
        <v>NA</v>
      </c>
      <c r="AI15" s="22" t="str">
        <f t="shared" si="9"/>
        <v>NA</v>
      </c>
      <c r="AJ15" s="22" t="str">
        <f t="shared" si="14"/>
        <v>NA</v>
      </c>
      <c r="AK15" s="22" t="str">
        <f t="shared" si="10"/>
        <v>1R X 11kV X 3C X 240 Sqmm</v>
      </c>
      <c r="AL15" s="23">
        <f t="shared" si="15"/>
        <v>460</v>
      </c>
      <c r="AM15" s="31"/>
      <c r="AN15" s="30">
        <f t="shared" si="11"/>
        <v>2</v>
      </c>
      <c r="AO15" s="20"/>
    </row>
    <row r="16" spans="1:45" ht="39.950000000000003" customHeight="1">
      <c r="A16" s="46">
        <v>9</v>
      </c>
      <c r="B16" s="45" t="s">
        <v>122</v>
      </c>
      <c r="C16" s="19" t="s">
        <v>81</v>
      </c>
      <c r="D16" s="19">
        <v>2500</v>
      </c>
      <c r="E16" s="48"/>
      <c r="F16" s="19">
        <v>11</v>
      </c>
      <c r="G16" s="20">
        <v>0.85</v>
      </c>
      <c r="H16" s="20">
        <v>0.92</v>
      </c>
      <c r="I16" s="20">
        <f t="shared" si="0"/>
        <v>131.21981944152844</v>
      </c>
      <c r="J16" s="20">
        <f t="shared" si="12"/>
        <v>0</v>
      </c>
      <c r="K16" s="20">
        <f t="shared" si="1"/>
        <v>0</v>
      </c>
      <c r="L16" s="20">
        <v>50</v>
      </c>
      <c r="M16" s="20">
        <v>0.16</v>
      </c>
      <c r="N16" s="20">
        <f t="shared" si="2"/>
        <v>212.7659574468085</v>
      </c>
      <c r="O16" s="19" t="s">
        <v>66</v>
      </c>
      <c r="P16" s="20" t="s">
        <v>57</v>
      </c>
      <c r="Q16" s="21">
        <v>240</v>
      </c>
      <c r="R16" s="19">
        <v>387</v>
      </c>
      <c r="S16" s="22">
        <v>0.16200000000000001</v>
      </c>
      <c r="T16" s="22">
        <v>8.7999999999999995E-2</v>
      </c>
      <c r="U16" s="19">
        <v>490</v>
      </c>
      <c r="V16" s="19">
        <v>0.89</v>
      </c>
      <c r="W16" s="19">
        <v>0.73</v>
      </c>
      <c r="X16" s="19" t="s">
        <v>142</v>
      </c>
      <c r="Y16" s="19">
        <v>0</v>
      </c>
      <c r="Z16" s="19">
        <v>0</v>
      </c>
      <c r="AA16" s="22">
        <v>0.64969999999999994</v>
      </c>
      <c r="AB16" s="20">
        <f t="shared" si="3"/>
        <v>251.43389999999997</v>
      </c>
      <c r="AC16" s="23">
        <f t="shared" si="13"/>
        <v>1</v>
      </c>
      <c r="AD16" s="20" t="str">
        <f t="shared" si="4"/>
        <v>YES</v>
      </c>
      <c r="AE16" s="22">
        <f t="shared" si="5"/>
        <v>20.49784434509024</v>
      </c>
      <c r="AF16" s="22">
        <f t="shared" si="6"/>
        <v>0.18634403950082035</v>
      </c>
      <c r="AG16" s="19" t="str">
        <f t="shared" si="7"/>
        <v>YES</v>
      </c>
      <c r="AH16" s="22" t="str">
        <f t="shared" si="8"/>
        <v>NA</v>
      </c>
      <c r="AI16" s="22" t="str">
        <f t="shared" si="9"/>
        <v>NA</v>
      </c>
      <c r="AJ16" s="22" t="str">
        <f t="shared" si="14"/>
        <v>NA</v>
      </c>
      <c r="AK16" s="22" t="str">
        <f t="shared" si="10"/>
        <v>1R X 11kV X 3C X 240 Sqmm</v>
      </c>
      <c r="AL16" s="23">
        <f t="shared" si="15"/>
        <v>490</v>
      </c>
      <c r="AM16" s="31"/>
      <c r="AN16" s="30">
        <f t="shared" si="11"/>
        <v>2</v>
      </c>
      <c r="AO16" s="20"/>
    </row>
    <row r="17" spans="1:41" ht="39.950000000000003" customHeight="1">
      <c r="A17" s="46">
        <v>10</v>
      </c>
      <c r="B17" s="45" t="s">
        <v>123</v>
      </c>
      <c r="C17" s="19" t="s">
        <v>81</v>
      </c>
      <c r="D17" s="19">
        <v>2500</v>
      </c>
      <c r="E17" s="48"/>
      <c r="F17" s="19">
        <v>11</v>
      </c>
      <c r="G17" s="20">
        <v>0.85</v>
      </c>
      <c r="H17" s="20">
        <v>0.92</v>
      </c>
      <c r="I17" s="20">
        <f t="shared" si="0"/>
        <v>131.21981944152844</v>
      </c>
      <c r="J17" s="20">
        <f t="shared" si="12"/>
        <v>0</v>
      </c>
      <c r="K17" s="20">
        <f t="shared" si="1"/>
        <v>0</v>
      </c>
      <c r="L17" s="20">
        <v>50</v>
      </c>
      <c r="M17" s="20">
        <v>0.16</v>
      </c>
      <c r="N17" s="20">
        <f t="shared" si="2"/>
        <v>212.7659574468085</v>
      </c>
      <c r="O17" s="19" t="s">
        <v>66</v>
      </c>
      <c r="P17" s="20" t="s">
        <v>57</v>
      </c>
      <c r="Q17" s="21">
        <v>240</v>
      </c>
      <c r="R17" s="19">
        <v>387</v>
      </c>
      <c r="S17" s="22">
        <v>0.16200000000000001</v>
      </c>
      <c r="T17" s="22">
        <v>8.7999999999999995E-2</v>
      </c>
      <c r="U17" s="19">
        <v>490</v>
      </c>
      <c r="V17" s="19">
        <v>0.89</v>
      </c>
      <c r="W17" s="19">
        <v>0.73</v>
      </c>
      <c r="X17" s="19" t="s">
        <v>142</v>
      </c>
      <c r="Y17" s="19">
        <v>0</v>
      </c>
      <c r="Z17" s="19">
        <v>0</v>
      </c>
      <c r="AA17" s="22">
        <v>0.64969999999999994</v>
      </c>
      <c r="AB17" s="20">
        <f t="shared" si="3"/>
        <v>251.43389999999997</v>
      </c>
      <c r="AC17" s="23">
        <f t="shared" si="13"/>
        <v>1</v>
      </c>
      <c r="AD17" s="20" t="str">
        <f t="shared" si="4"/>
        <v>YES</v>
      </c>
      <c r="AE17" s="22">
        <f t="shared" si="5"/>
        <v>20.49784434509024</v>
      </c>
      <c r="AF17" s="22">
        <f t="shared" si="6"/>
        <v>0.18634403950082035</v>
      </c>
      <c r="AG17" s="19" t="str">
        <f t="shared" si="7"/>
        <v>YES</v>
      </c>
      <c r="AH17" s="22" t="str">
        <f t="shared" si="8"/>
        <v>NA</v>
      </c>
      <c r="AI17" s="22" t="str">
        <f t="shared" si="9"/>
        <v>NA</v>
      </c>
      <c r="AJ17" s="22" t="str">
        <f t="shared" si="14"/>
        <v>NA</v>
      </c>
      <c r="AK17" s="22" t="str">
        <f t="shared" si="10"/>
        <v>1R X 11kV X 3C X 240 Sqmm</v>
      </c>
      <c r="AL17" s="23">
        <f t="shared" si="15"/>
        <v>490</v>
      </c>
      <c r="AM17" s="31"/>
      <c r="AN17" s="30">
        <f t="shared" si="11"/>
        <v>2</v>
      </c>
      <c r="AO17" s="20"/>
    </row>
    <row r="18" spans="1:41" ht="39.950000000000003" customHeight="1">
      <c r="A18" s="46">
        <v>11</v>
      </c>
      <c r="B18" s="45" t="s">
        <v>124</v>
      </c>
      <c r="C18" s="19" t="s">
        <v>81</v>
      </c>
      <c r="D18" s="19">
        <v>2500</v>
      </c>
      <c r="E18" s="48"/>
      <c r="F18" s="19">
        <v>11</v>
      </c>
      <c r="G18" s="20">
        <v>0.85</v>
      </c>
      <c r="H18" s="20">
        <v>0.92</v>
      </c>
      <c r="I18" s="20">
        <f t="shared" si="0"/>
        <v>131.21981944152844</v>
      </c>
      <c r="J18" s="20">
        <f t="shared" si="12"/>
        <v>0</v>
      </c>
      <c r="K18" s="20">
        <f t="shared" si="1"/>
        <v>0</v>
      </c>
      <c r="L18" s="20">
        <v>50</v>
      </c>
      <c r="M18" s="20">
        <v>0.16</v>
      </c>
      <c r="N18" s="20">
        <f t="shared" si="2"/>
        <v>212.7659574468085</v>
      </c>
      <c r="O18" s="19" t="s">
        <v>66</v>
      </c>
      <c r="P18" s="20" t="s">
        <v>57</v>
      </c>
      <c r="Q18" s="21">
        <v>240</v>
      </c>
      <c r="R18" s="19">
        <v>387</v>
      </c>
      <c r="S18" s="22">
        <v>0.16200000000000001</v>
      </c>
      <c r="T18" s="22">
        <v>8.7999999999999995E-2</v>
      </c>
      <c r="U18" s="19">
        <v>490</v>
      </c>
      <c r="V18" s="19">
        <v>0.89</v>
      </c>
      <c r="W18" s="19">
        <v>0.73</v>
      </c>
      <c r="X18" s="19" t="s">
        <v>142</v>
      </c>
      <c r="Y18" s="19">
        <v>0</v>
      </c>
      <c r="Z18" s="19">
        <v>0</v>
      </c>
      <c r="AA18" s="22">
        <v>0.64969999999999994</v>
      </c>
      <c r="AB18" s="20">
        <f t="shared" si="3"/>
        <v>251.43389999999997</v>
      </c>
      <c r="AC18" s="23">
        <f t="shared" si="13"/>
        <v>1</v>
      </c>
      <c r="AD18" s="20" t="str">
        <f t="shared" si="4"/>
        <v>YES</v>
      </c>
      <c r="AE18" s="22">
        <f t="shared" si="5"/>
        <v>20.49784434509024</v>
      </c>
      <c r="AF18" s="22">
        <f t="shared" si="6"/>
        <v>0.18634403950082035</v>
      </c>
      <c r="AG18" s="19" t="str">
        <f t="shared" si="7"/>
        <v>YES</v>
      </c>
      <c r="AH18" s="22" t="str">
        <f t="shared" si="8"/>
        <v>NA</v>
      </c>
      <c r="AI18" s="22" t="str">
        <f t="shared" si="9"/>
        <v>NA</v>
      </c>
      <c r="AJ18" s="22" t="str">
        <f t="shared" si="14"/>
        <v>NA</v>
      </c>
      <c r="AK18" s="22" t="str">
        <f t="shared" si="10"/>
        <v>1R X 11kV X 3C X 240 Sqmm</v>
      </c>
      <c r="AL18" s="23">
        <f t="shared" si="15"/>
        <v>490</v>
      </c>
      <c r="AM18" s="47"/>
      <c r="AN18" s="30">
        <f t="shared" si="11"/>
        <v>2</v>
      </c>
      <c r="AO18" s="20"/>
    </row>
    <row r="19" spans="1:41" ht="39.950000000000003" customHeight="1">
      <c r="A19" s="46">
        <v>12</v>
      </c>
      <c r="B19" s="45" t="s">
        <v>125</v>
      </c>
      <c r="C19" s="19" t="s">
        <v>81</v>
      </c>
      <c r="D19" s="19">
        <v>3000</v>
      </c>
      <c r="E19" s="48"/>
      <c r="F19" s="19">
        <v>11</v>
      </c>
      <c r="G19" s="20">
        <v>0.85</v>
      </c>
      <c r="H19" s="20">
        <v>0.92</v>
      </c>
      <c r="I19" s="20">
        <f t="shared" si="0"/>
        <v>157.46378332983414</v>
      </c>
      <c r="J19" s="20">
        <f t="shared" si="12"/>
        <v>0</v>
      </c>
      <c r="K19" s="20">
        <f t="shared" si="1"/>
        <v>0</v>
      </c>
      <c r="L19" s="20">
        <v>50</v>
      </c>
      <c r="M19" s="20">
        <v>0.16</v>
      </c>
      <c r="N19" s="20">
        <f t="shared" si="2"/>
        <v>212.7659574468085</v>
      </c>
      <c r="O19" s="19" t="s">
        <v>66</v>
      </c>
      <c r="P19" s="20" t="s">
        <v>57</v>
      </c>
      <c r="Q19" s="21">
        <v>240</v>
      </c>
      <c r="R19" s="19">
        <v>387</v>
      </c>
      <c r="S19" s="22">
        <v>0.16200000000000001</v>
      </c>
      <c r="T19" s="22">
        <v>8.7999999999999995E-2</v>
      </c>
      <c r="U19" s="19">
        <v>1100</v>
      </c>
      <c r="V19" s="19">
        <v>0.89</v>
      </c>
      <c r="W19" s="19">
        <v>0.73</v>
      </c>
      <c r="X19" s="19" t="s">
        <v>142</v>
      </c>
      <c r="Y19" s="19">
        <v>0</v>
      </c>
      <c r="Z19" s="19">
        <v>0</v>
      </c>
      <c r="AA19" s="22">
        <v>0.64969999999999994</v>
      </c>
      <c r="AB19" s="20">
        <f t="shared" si="3"/>
        <v>251.43389999999997</v>
      </c>
      <c r="AC19" s="23">
        <f t="shared" si="13"/>
        <v>1</v>
      </c>
      <c r="AD19" s="20" t="str">
        <f t="shared" si="4"/>
        <v>YES</v>
      </c>
      <c r="AE19" s="22">
        <f t="shared" si="5"/>
        <v>55.218682725549236</v>
      </c>
      <c r="AF19" s="22">
        <f t="shared" si="6"/>
        <v>0.50198802477772031</v>
      </c>
      <c r="AG19" s="19" t="str">
        <f t="shared" si="7"/>
        <v>YES</v>
      </c>
      <c r="AH19" s="22" t="str">
        <f t="shared" si="8"/>
        <v>NA</v>
      </c>
      <c r="AI19" s="22" t="str">
        <f t="shared" si="9"/>
        <v>NA</v>
      </c>
      <c r="AJ19" s="22" t="str">
        <f t="shared" si="14"/>
        <v>NA</v>
      </c>
      <c r="AK19" s="22" t="str">
        <f t="shared" si="10"/>
        <v>1R X 11kV X 3C X 240 Sqmm</v>
      </c>
      <c r="AL19" s="23">
        <f t="shared" si="15"/>
        <v>1100</v>
      </c>
      <c r="AM19" s="47"/>
      <c r="AN19" s="30">
        <f t="shared" si="11"/>
        <v>2</v>
      </c>
      <c r="AO19" s="20"/>
    </row>
    <row r="20" spans="1:41" ht="39.950000000000003" customHeight="1">
      <c r="A20" s="76">
        <v>13</v>
      </c>
      <c r="B20" s="77" t="s">
        <v>92</v>
      </c>
      <c r="C20" s="53" t="s">
        <v>81</v>
      </c>
      <c r="D20" s="53">
        <v>20000</v>
      </c>
      <c r="E20" s="78"/>
      <c r="F20" s="53">
        <v>11</v>
      </c>
      <c r="G20" s="54">
        <v>0.85</v>
      </c>
      <c r="H20" s="54">
        <v>0.92</v>
      </c>
      <c r="I20" s="54">
        <f t="shared" si="0"/>
        <v>1049.7585555322275</v>
      </c>
      <c r="J20" s="54">
        <f t="shared" si="12"/>
        <v>0</v>
      </c>
      <c r="K20" s="54">
        <f t="shared" si="1"/>
        <v>0</v>
      </c>
      <c r="L20" s="54">
        <v>50</v>
      </c>
      <c r="M20" s="54">
        <v>0.16</v>
      </c>
      <c r="N20" s="54">
        <f t="shared" si="2"/>
        <v>212.7659574468085</v>
      </c>
      <c r="O20" s="53" t="s">
        <v>66</v>
      </c>
      <c r="P20" s="54" t="s">
        <v>56</v>
      </c>
      <c r="Q20" s="55">
        <v>400</v>
      </c>
      <c r="R20" s="53">
        <v>575</v>
      </c>
      <c r="S20" s="56">
        <v>0.1018</v>
      </c>
      <c r="T20" s="56">
        <v>9.3700000000000006E-2</v>
      </c>
      <c r="U20" s="53">
        <v>120</v>
      </c>
      <c r="V20" s="53">
        <v>0.89</v>
      </c>
      <c r="W20" s="53">
        <v>0.78</v>
      </c>
      <c r="X20" s="53" t="s">
        <v>142</v>
      </c>
      <c r="Y20" s="53">
        <v>0</v>
      </c>
      <c r="Z20" s="53">
        <v>0</v>
      </c>
      <c r="AA20" s="56">
        <v>0.69420000000000004</v>
      </c>
      <c r="AB20" s="54">
        <f t="shared" si="3"/>
        <v>399.16500000000002</v>
      </c>
      <c r="AC20" s="57">
        <f t="shared" si="13"/>
        <v>3</v>
      </c>
      <c r="AD20" s="54" t="str">
        <f t="shared" si="4"/>
        <v>YES</v>
      </c>
      <c r="AE20" s="56">
        <f t="shared" si="5"/>
        <v>9.8831653891361064</v>
      </c>
      <c r="AF20" s="56">
        <f t="shared" si="6"/>
        <v>8.9846958083055511E-2</v>
      </c>
      <c r="AG20" s="53" t="str">
        <f t="shared" si="7"/>
        <v>YES</v>
      </c>
      <c r="AH20" s="56" t="str">
        <f t="shared" si="8"/>
        <v>NA</v>
      </c>
      <c r="AI20" s="56" t="str">
        <f t="shared" si="9"/>
        <v>NA</v>
      </c>
      <c r="AJ20" s="56" t="str">
        <f t="shared" si="14"/>
        <v>NA</v>
      </c>
      <c r="AK20" s="56" t="str">
        <f t="shared" si="10"/>
        <v>3R X 11kV X 1C X 400 Sqmm</v>
      </c>
      <c r="AL20" s="57">
        <f t="shared" si="15"/>
        <v>1080</v>
      </c>
      <c r="AM20" s="73"/>
      <c r="AN20" s="92">
        <f t="shared" si="11"/>
        <v>6</v>
      </c>
      <c r="AO20" s="54"/>
    </row>
    <row r="21" spans="1:41" ht="39.950000000000003" customHeight="1" thickBot="1">
      <c r="A21" s="76"/>
      <c r="B21" s="77"/>
      <c r="C21" s="53"/>
      <c r="D21" s="53"/>
      <c r="E21" s="78"/>
      <c r="F21" s="53"/>
      <c r="G21" s="54"/>
      <c r="H21" s="54"/>
      <c r="I21" s="54"/>
      <c r="J21" s="54"/>
      <c r="K21" s="54"/>
      <c r="L21" s="54"/>
      <c r="M21" s="54"/>
      <c r="N21" s="54"/>
      <c r="O21" s="53"/>
      <c r="P21" s="54"/>
      <c r="Q21" s="55"/>
      <c r="R21" s="53"/>
      <c r="S21" s="56"/>
      <c r="T21" s="56"/>
      <c r="U21" s="53"/>
      <c r="V21" s="53"/>
      <c r="W21" s="53"/>
      <c r="X21" s="53"/>
      <c r="Y21" s="53"/>
      <c r="Z21" s="53"/>
      <c r="AA21" s="56"/>
      <c r="AB21" s="54"/>
      <c r="AC21" s="57"/>
      <c r="AD21" s="54"/>
      <c r="AE21" s="56"/>
      <c r="AF21" s="56"/>
      <c r="AG21" s="53"/>
      <c r="AH21" s="56"/>
      <c r="AI21" s="56"/>
      <c r="AJ21" s="56"/>
      <c r="AK21" s="56"/>
      <c r="AL21" s="57"/>
      <c r="AM21" s="73"/>
      <c r="AN21" s="30"/>
      <c r="AO21" s="20"/>
    </row>
    <row r="22" spans="1:41" s="42" customFormat="1" ht="39.950000000000003" customHeight="1" thickBot="1">
      <c r="A22" s="66"/>
      <c r="B22" s="67" t="s">
        <v>105</v>
      </c>
      <c r="C22" s="68"/>
      <c r="D22" s="68"/>
      <c r="E22" s="68"/>
      <c r="F22" s="68"/>
      <c r="G22" s="69"/>
      <c r="H22" s="69"/>
      <c r="I22" s="69"/>
      <c r="J22" s="69"/>
      <c r="K22" s="69"/>
      <c r="L22" s="69"/>
      <c r="M22" s="69"/>
      <c r="N22" s="69"/>
      <c r="O22" s="68"/>
      <c r="P22" s="69"/>
      <c r="Q22" s="70"/>
      <c r="R22" s="68"/>
      <c r="S22" s="71"/>
      <c r="T22" s="68"/>
      <c r="U22" s="68"/>
      <c r="V22" s="68"/>
      <c r="W22" s="68"/>
      <c r="X22" s="68"/>
      <c r="Y22" s="68"/>
      <c r="Z22" s="68"/>
      <c r="AA22" s="71"/>
      <c r="AB22" s="69"/>
      <c r="AC22" s="72"/>
      <c r="AD22" s="69"/>
      <c r="AE22" s="71"/>
      <c r="AF22" s="71"/>
      <c r="AG22" s="68"/>
      <c r="AH22" s="71"/>
      <c r="AI22" s="71"/>
      <c r="AJ22" s="71"/>
      <c r="AK22" s="71"/>
      <c r="AL22" s="72"/>
      <c r="AM22" s="75"/>
      <c r="AN22" s="93">
        <f t="shared" si="11"/>
        <v>0</v>
      </c>
      <c r="AO22" s="94"/>
    </row>
    <row r="23" spans="1:41" ht="39.950000000000003" customHeight="1">
      <c r="A23" s="58">
        <v>1</v>
      </c>
      <c r="B23" s="59" t="s">
        <v>146</v>
      </c>
      <c r="C23" s="60" t="s">
        <v>47</v>
      </c>
      <c r="D23" s="61"/>
      <c r="E23" s="60">
        <v>2450</v>
      </c>
      <c r="F23" s="60">
        <v>11</v>
      </c>
      <c r="G23" s="62">
        <v>0.85</v>
      </c>
      <c r="H23" s="62">
        <v>0.92</v>
      </c>
      <c r="I23" s="62">
        <f t="shared" ref="I23:I34" si="16">IF(D23="",(E23/(1.732*F23*G23*H23)),(D23/(1.732*F23)))</f>
        <v>164.44427500344997</v>
      </c>
      <c r="J23" s="62">
        <f t="shared" ref="J23:J34" si="17">IF(C23="M",7.2*I23,0)</f>
        <v>1183.9987800248398</v>
      </c>
      <c r="K23" s="62">
        <f t="shared" ref="K23:K34" si="18">IF(C23="M",0.2,0)</f>
        <v>0.2</v>
      </c>
      <c r="L23" s="62">
        <v>50</v>
      </c>
      <c r="M23" s="62">
        <v>0.16</v>
      </c>
      <c r="N23" s="62">
        <f t="shared" ref="N23:N34" si="19">(L23*1000*SQRT(M23)/94)</f>
        <v>212.7659574468085</v>
      </c>
      <c r="O23" s="60" t="s">
        <v>66</v>
      </c>
      <c r="P23" s="62" t="s">
        <v>57</v>
      </c>
      <c r="Q23" s="63">
        <v>240</v>
      </c>
      <c r="R23" s="60">
        <v>387</v>
      </c>
      <c r="S23" s="64">
        <v>0.16200000000000001</v>
      </c>
      <c r="T23" s="64">
        <v>8.7999999999999995E-2</v>
      </c>
      <c r="U23" s="60">
        <v>475</v>
      </c>
      <c r="V23" s="60">
        <v>0.89</v>
      </c>
      <c r="W23" s="60">
        <v>0.73</v>
      </c>
      <c r="X23" s="60" t="s">
        <v>142</v>
      </c>
      <c r="Y23" s="60">
        <v>0</v>
      </c>
      <c r="Z23" s="60">
        <v>0</v>
      </c>
      <c r="AA23" s="64">
        <v>0.64969999999999994</v>
      </c>
      <c r="AB23" s="62">
        <f t="shared" ref="AB23:AB34" si="20">R23*AA23</f>
        <v>251.43389999999997</v>
      </c>
      <c r="AC23" s="65">
        <f>ROUNDUP(((I23)/AB23),0)</f>
        <v>1</v>
      </c>
      <c r="AD23" s="62" t="str">
        <f t="shared" ref="AD23:AD34" si="21">IF(AB23*AC23&gt;=I23,"YES","NO")</f>
        <v>YES</v>
      </c>
      <c r="AE23" s="64">
        <f t="shared" ref="AE23:AE34" si="22">IF(C23="M",(SQRT(3)*I23*(U23/1000)*((S23/AC23)*G23+(T23/AC23)*SIN(ACOS(G23)))),(SQRT(3)*I23*(U23/1000)*((S23/AC23)*G23+(T23/AC23)*SIN(ACOS(G23)))))</f>
        <v>24.90147330925285</v>
      </c>
      <c r="AF23" s="64">
        <f t="shared" ref="AF23:AF34" si="23">(AE23/(F23*1000))*100</f>
        <v>0.22637703008411683</v>
      </c>
      <c r="AG23" s="60" t="str">
        <f t="shared" ref="AG23:AG34" si="24">IF(C23="I",IF(AF23&lt;=2,"YES","NO"),IF(AF23&lt;=3,"YES","NO"))</f>
        <v>YES</v>
      </c>
      <c r="AH23" s="64">
        <f t="shared" ref="AH23:AH34" si="25">IF(C23="M",(SQRT(3)*J23*(U23/1000)*((S23/AC23)*K23+(T23/AC23)*SIN(ACOS(K23)))),"NA")</f>
        <v>115.55024657177231</v>
      </c>
      <c r="AI23" s="64">
        <f t="shared" ref="AI23:AI34" si="26">IF(C23="M",(AH23/(F23*1000))*100,"NA")</f>
        <v>1.0504567870161119</v>
      </c>
      <c r="AJ23" s="64" t="str">
        <f t="shared" ref="AJ23:AJ34" si="27">IF(C23="M",IF(AI23&lt;=10,"YES","NO"),"NA")</f>
        <v>YES</v>
      </c>
      <c r="AK23" s="64" t="str">
        <f t="shared" ref="AK23:AK34" si="28">IF(C23="M",IF(AND(Q23&gt;=N23,AD23="YES",AG23="YES",AJ23="YES"),CONCATENATE(AC23,"R X ",F23,"kV X ",P23," X ",Q23," Sqmm"),"Cable size is not correct"),IF(AND(Q23&gt;=N23,AD23="YES",AG23="YES",AJ23="NA"),CONCATENATE(AC23,"R X ",F23,"kV X ",P23," X ",Q23," Sqmm"),"Cable size is not correct"))</f>
        <v>1R X 11kV X 3C X 240 Sqmm</v>
      </c>
      <c r="AL23" s="65">
        <f t="shared" ref="AL23:AL34" si="29">IF(P23="1C",3*U23*AC23,U23*AC23)</f>
        <v>475</v>
      </c>
      <c r="AM23" s="74"/>
      <c r="AN23" s="30">
        <f t="shared" si="11"/>
        <v>2</v>
      </c>
      <c r="AO23" s="20"/>
    </row>
    <row r="24" spans="1:41" s="42" customFormat="1" ht="39.950000000000003" customHeight="1">
      <c r="A24" s="46">
        <v>2</v>
      </c>
      <c r="B24" s="45" t="s">
        <v>147</v>
      </c>
      <c r="C24" s="19" t="s">
        <v>47</v>
      </c>
      <c r="D24" s="19"/>
      <c r="E24" s="19">
        <v>3900</v>
      </c>
      <c r="F24" s="19">
        <v>11</v>
      </c>
      <c r="G24" s="62">
        <v>0.88</v>
      </c>
      <c r="H24" s="62">
        <v>0.95</v>
      </c>
      <c r="I24" s="20">
        <f t="shared" si="16"/>
        <v>244.85995015404831</v>
      </c>
      <c r="J24" s="20">
        <f t="shared" si="17"/>
        <v>1762.9916411091478</v>
      </c>
      <c r="K24" s="20">
        <f t="shared" si="18"/>
        <v>0.2</v>
      </c>
      <c r="L24" s="20">
        <v>50</v>
      </c>
      <c r="M24" s="20">
        <v>0.16</v>
      </c>
      <c r="N24" s="20">
        <f t="shared" si="19"/>
        <v>212.7659574468085</v>
      </c>
      <c r="O24" s="19" t="s">
        <v>66</v>
      </c>
      <c r="P24" s="20" t="s">
        <v>57</v>
      </c>
      <c r="Q24" s="21">
        <v>300</v>
      </c>
      <c r="R24" s="19">
        <v>441</v>
      </c>
      <c r="S24" s="22">
        <v>0.13</v>
      </c>
      <c r="T24" s="22">
        <v>8.5999999999999993E-2</v>
      </c>
      <c r="U24" s="19">
        <v>500</v>
      </c>
      <c r="V24" s="19">
        <v>0.89</v>
      </c>
      <c r="W24" s="19">
        <v>0.73</v>
      </c>
      <c r="X24" s="19" t="s">
        <v>142</v>
      </c>
      <c r="Y24" s="19">
        <v>0</v>
      </c>
      <c r="Z24" s="19">
        <v>0</v>
      </c>
      <c r="AA24" s="22">
        <v>0.64969999999999994</v>
      </c>
      <c r="AB24" s="20">
        <f t="shared" si="20"/>
        <v>286.51769999999999</v>
      </c>
      <c r="AC24" s="23">
        <f t="shared" ref="AC24:AC34" si="30">ROUNDUP(((I24)/AB24),0)</f>
        <v>1</v>
      </c>
      <c r="AD24" s="20" t="str">
        <f t="shared" si="21"/>
        <v>YES</v>
      </c>
      <c r="AE24" s="22">
        <f t="shared" si="22"/>
        <v>32.921049073634265</v>
      </c>
      <c r="AF24" s="22">
        <f t="shared" si="23"/>
        <v>0.29928226430576604</v>
      </c>
      <c r="AG24" s="19" t="str">
        <f t="shared" si="24"/>
        <v>YES</v>
      </c>
      <c r="AH24" s="22">
        <f t="shared" si="25"/>
        <v>168.34821340744261</v>
      </c>
      <c r="AI24" s="22">
        <f t="shared" si="26"/>
        <v>1.5304383037040239</v>
      </c>
      <c r="AJ24" s="22" t="str">
        <f t="shared" si="27"/>
        <v>YES</v>
      </c>
      <c r="AK24" s="22" t="str">
        <f t="shared" si="28"/>
        <v>1R X 11kV X 3C X 300 Sqmm</v>
      </c>
      <c r="AL24" s="23">
        <f t="shared" si="29"/>
        <v>500</v>
      </c>
      <c r="AM24" s="31"/>
      <c r="AN24" s="30">
        <f t="shared" si="11"/>
        <v>2</v>
      </c>
      <c r="AO24" s="20"/>
    </row>
    <row r="25" spans="1:41" s="112" customFormat="1" ht="39.950000000000003" customHeight="1">
      <c r="A25" s="102">
        <v>3</v>
      </c>
      <c r="B25" s="103" t="s">
        <v>126</v>
      </c>
      <c r="C25" s="104" t="s">
        <v>47</v>
      </c>
      <c r="D25" s="104"/>
      <c r="E25" s="104">
        <v>4325</v>
      </c>
      <c r="F25" s="104">
        <v>11</v>
      </c>
      <c r="G25" s="105">
        <v>0.77</v>
      </c>
      <c r="H25" s="105">
        <v>0.94499999999999995</v>
      </c>
      <c r="I25" s="106">
        <f t="shared" si="16"/>
        <v>311.97730726839035</v>
      </c>
      <c r="J25" s="106">
        <f t="shared" si="17"/>
        <v>2246.2366123324105</v>
      </c>
      <c r="K25" s="106">
        <f t="shared" si="18"/>
        <v>0.2</v>
      </c>
      <c r="L25" s="106">
        <v>50</v>
      </c>
      <c r="M25" s="106">
        <v>0.16</v>
      </c>
      <c r="N25" s="106">
        <f t="shared" si="19"/>
        <v>212.7659574468085</v>
      </c>
      <c r="O25" s="104" t="s">
        <v>66</v>
      </c>
      <c r="P25" s="106" t="s">
        <v>56</v>
      </c>
      <c r="Q25" s="107">
        <v>300</v>
      </c>
      <c r="R25" s="104">
        <v>387</v>
      </c>
      <c r="S25" s="108">
        <v>0.16200000000000001</v>
      </c>
      <c r="T25" s="108">
        <v>8.7999999999999995E-2</v>
      </c>
      <c r="U25" s="104">
        <v>750</v>
      </c>
      <c r="V25" s="104">
        <v>0.89</v>
      </c>
      <c r="W25" s="104">
        <v>0.73</v>
      </c>
      <c r="X25" s="104" t="s">
        <v>142</v>
      </c>
      <c r="Y25" s="104">
        <v>0</v>
      </c>
      <c r="Z25" s="104">
        <v>0</v>
      </c>
      <c r="AA25" s="108">
        <v>0.64969999999999994</v>
      </c>
      <c r="AB25" s="106">
        <f t="shared" si="20"/>
        <v>251.43389999999997</v>
      </c>
      <c r="AC25" s="109">
        <v>2</v>
      </c>
      <c r="AD25" s="106" t="str">
        <f t="shared" si="21"/>
        <v>YES</v>
      </c>
      <c r="AE25" s="108">
        <f t="shared" si="22"/>
        <v>36.654249007874924</v>
      </c>
      <c r="AF25" s="108">
        <f t="shared" si="23"/>
        <v>0.33322044552613567</v>
      </c>
      <c r="AG25" s="104" t="str">
        <f t="shared" si="24"/>
        <v>YES</v>
      </c>
      <c r="AH25" s="108">
        <f t="shared" si="25"/>
        <v>173.06640859712658</v>
      </c>
      <c r="AI25" s="108">
        <f t="shared" si="26"/>
        <v>1.5733309872466053</v>
      </c>
      <c r="AJ25" s="108" t="str">
        <f t="shared" si="27"/>
        <v>YES</v>
      </c>
      <c r="AK25" s="108" t="str">
        <f t="shared" si="28"/>
        <v>2R X 11kV X 1C X 300 Sqmm</v>
      </c>
      <c r="AL25" s="109">
        <f t="shared" si="29"/>
        <v>4500</v>
      </c>
      <c r="AM25" s="110"/>
      <c r="AN25" s="111">
        <f t="shared" si="11"/>
        <v>4</v>
      </c>
      <c r="AO25" s="106"/>
    </row>
    <row r="26" spans="1:41" ht="39.950000000000003" customHeight="1">
      <c r="A26" s="46">
        <v>4</v>
      </c>
      <c r="B26" s="45" t="s">
        <v>148</v>
      </c>
      <c r="C26" s="19" t="s">
        <v>47</v>
      </c>
      <c r="D26" s="19"/>
      <c r="E26" s="19">
        <v>11350</v>
      </c>
      <c r="F26" s="19">
        <v>11</v>
      </c>
      <c r="G26" s="62">
        <v>0.85</v>
      </c>
      <c r="H26" s="62">
        <v>0.97</v>
      </c>
      <c r="I26" s="20">
        <f t="shared" si="16"/>
        <v>722.54454853188508</v>
      </c>
      <c r="J26" s="20">
        <f t="shared" si="17"/>
        <v>5202.320749429573</v>
      </c>
      <c r="K26" s="20">
        <f t="shared" si="18"/>
        <v>0.2</v>
      </c>
      <c r="L26" s="20">
        <v>50</v>
      </c>
      <c r="M26" s="20">
        <v>0.16</v>
      </c>
      <c r="N26" s="20">
        <f t="shared" si="19"/>
        <v>212.7659574468085</v>
      </c>
      <c r="O26" s="19" t="s">
        <v>66</v>
      </c>
      <c r="P26" s="20" t="s">
        <v>56</v>
      </c>
      <c r="Q26" s="21">
        <v>400</v>
      </c>
      <c r="R26" s="19">
        <v>575</v>
      </c>
      <c r="S26" s="22">
        <v>0.1018</v>
      </c>
      <c r="T26" s="22">
        <v>9.3700000000000006E-2</v>
      </c>
      <c r="U26" s="19">
        <v>410</v>
      </c>
      <c r="V26" s="19">
        <v>0.89</v>
      </c>
      <c r="W26" s="19">
        <v>0.78</v>
      </c>
      <c r="X26" s="19" t="s">
        <v>142</v>
      </c>
      <c r="Y26" s="19">
        <v>0</v>
      </c>
      <c r="Z26" s="19">
        <v>0</v>
      </c>
      <c r="AA26" s="22">
        <v>0.69420000000000004</v>
      </c>
      <c r="AB26" s="20">
        <f t="shared" si="20"/>
        <v>399.16500000000002</v>
      </c>
      <c r="AC26" s="23">
        <f t="shared" si="30"/>
        <v>2</v>
      </c>
      <c r="AD26" s="20" t="str">
        <f t="shared" si="21"/>
        <v>YES</v>
      </c>
      <c r="AE26" s="22">
        <f t="shared" si="22"/>
        <v>34.863030729491264</v>
      </c>
      <c r="AF26" s="22">
        <f t="shared" si="23"/>
        <v>0.31693664299537511</v>
      </c>
      <c r="AG26" s="19" t="str">
        <f t="shared" si="24"/>
        <v>YES</v>
      </c>
      <c r="AH26" s="22">
        <f t="shared" si="25"/>
        <v>207.19355221381022</v>
      </c>
      <c r="AI26" s="22">
        <f t="shared" si="26"/>
        <v>1.8835777473982747</v>
      </c>
      <c r="AJ26" s="22" t="str">
        <f t="shared" si="27"/>
        <v>YES</v>
      </c>
      <c r="AK26" s="22" t="str">
        <f t="shared" si="28"/>
        <v>2R X 11kV X 1C X 400 Sqmm</v>
      </c>
      <c r="AL26" s="23">
        <f t="shared" si="29"/>
        <v>2460</v>
      </c>
      <c r="AM26" s="47"/>
      <c r="AN26" s="30">
        <f t="shared" si="11"/>
        <v>4</v>
      </c>
      <c r="AO26" s="20"/>
    </row>
    <row r="27" spans="1:41" ht="39.950000000000003" customHeight="1">
      <c r="A27" s="46">
        <v>5</v>
      </c>
      <c r="B27" s="45" t="s">
        <v>92</v>
      </c>
      <c r="C27" s="19" t="s">
        <v>81</v>
      </c>
      <c r="D27" s="19">
        <v>20000</v>
      </c>
      <c r="E27" s="19"/>
      <c r="F27" s="19">
        <v>11</v>
      </c>
      <c r="G27" s="62">
        <v>0.83</v>
      </c>
      <c r="H27" s="62">
        <v>0.93</v>
      </c>
      <c r="I27" s="20">
        <f t="shared" si="16"/>
        <v>1049.7585555322275</v>
      </c>
      <c r="J27" s="20">
        <f t="shared" si="17"/>
        <v>0</v>
      </c>
      <c r="K27" s="20">
        <f t="shared" si="18"/>
        <v>0</v>
      </c>
      <c r="L27" s="20">
        <v>50</v>
      </c>
      <c r="M27" s="20">
        <v>0.16</v>
      </c>
      <c r="N27" s="20">
        <f t="shared" si="19"/>
        <v>212.7659574468085</v>
      </c>
      <c r="O27" s="19" t="s">
        <v>66</v>
      </c>
      <c r="P27" s="20" t="s">
        <v>56</v>
      </c>
      <c r="Q27" s="21">
        <v>400</v>
      </c>
      <c r="R27" s="19">
        <v>575</v>
      </c>
      <c r="S27" s="22">
        <v>0.1018</v>
      </c>
      <c r="T27" s="22">
        <v>9.3700000000000006E-2</v>
      </c>
      <c r="U27" s="19">
        <v>120</v>
      </c>
      <c r="V27" s="19">
        <v>0.89</v>
      </c>
      <c r="W27" s="19">
        <v>0.78</v>
      </c>
      <c r="X27" s="19" t="s">
        <v>142</v>
      </c>
      <c r="Y27" s="19">
        <v>0</v>
      </c>
      <c r="Z27" s="19">
        <v>0</v>
      </c>
      <c r="AA27" s="22">
        <v>0.69420000000000004</v>
      </c>
      <c r="AB27" s="20">
        <f t="shared" si="20"/>
        <v>399.16500000000002</v>
      </c>
      <c r="AC27" s="23">
        <f t="shared" si="30"/>
        <v>3</v>
      </c>
      <c r="AD27" s="20" t="str">
        <f t="shared" si="21"/>
        <v>YES</v>
      </c>
      <c r="AE27" s="22">
        <f t="shared" si="22"/>
        <v>9.9462139204807425</v>
      </c>
      <c r="AF27" s="22">
        <f t="shared" si="23"/>
        <v>9.0420126549824939E-2</v>
      </c>
      <c r="AG27" s="19" t="str">
        <f t="shared" si="24"/>
        <v>YES</v>
      </c>
      <c r="AH27" s="22" t="str">
        <f t="shared" si="25"/>
        <v>NA</v>
      </c>
      <c r="AI27" s="22" t="str">
        <f t="shared" si="26"/>
        <v>NA</v>
      </c>
      <c r="AJ27" s="22" t="str">
        <f t="shared" si="27"/>
        <v>NA</v>
      </c>
      <c r="AK27" s="22" t="str">
        <f t="shared" si="28"/>
        <v>3R X 11kV X 1C X 400 Sqmm</v>
      </c>
      <c r="AL27" s="23">
        <f t="shared" si="29"/>
        <v>1080</v>
      </c>
      <c r="AM27" s="47"/>
      <c r="AN27" s="30">
        <f t="shared" si="11"/>
        <v>6</v>
      </c>
      <c r="AO27" s="20"/>
    </row>
    <row r="28" spans="1:41" ht="39.950000000000003" customHeight="1">
      <c r="A28" s="46">
        <v>6</v>
      </c>
      <c r="B28" s="45" t="s">
        <v>149</v>
      </c>
      <c r="C28" s="19" t="s">
        <v>81</v>
      </c>
      <c r="D28" s="19">
        <v>3000</v>
      </c>
      <c r="E28" s="19"/>
      <c r="F28" s="19">
        <v>11</v>
      </c>
      <c r="G28" s="20">
        <v>0.85</v>
      </c>
      <c r="H28" s="20">
        <v>0.92</v>
      </c>
      <c r="I28" s="20">
        <f t="shared" si="16"/>
        <v>157.46378332983414</v>
      </c>
      <c r="J28" s="20">
        <f t="shared" si="17"/>
        <v>0</v>
      </c>
      <c r="K28" s="20">
        <f t="shared" si="18"/>
        <v>0</v>
      </c>
      <c r="L28" s="20">
        <v>50</v>
      </c>
      <c r="M28" s="20">
        <v>0.16</v>
      </c>
      <c r="N28" s="20">
        <f t="shared" si="19"/>
        <v>212.7659574468085</v>
      </c>
      <c r="O28" s="19" t="s">
        <v>66</v>
      </c>
      <c r="P28" s="20" t="s">
        <v>57</v>
      </c>
      <c r="Q28" s="21">
        <v>240</v>
      </c>
      <c r="R28" s="19">
        <v>387</v>
      </c>
      <c r="S28" s="22">
        <v>0.16200000000000001</v>
      </c>
      <c r="T28" s="22">
        <v>8.7999999999999995E-2</v>
      </c>
      <c r="U28" s="19">
        <v>460</v>
      </c>
      <c r="V28" s="19">
        <v>0.89</v>
      </c>
      <c r="W28" s="19">
        <v>0.73</v>
      </c>
      <c r="X28" s="19" t="s">
        <v>142</v>
      </c>
      <c r="Y28" s="19">
        <v>0</v>
      </c>
      <c r="Z28" s="19">
        <v>0</v>
      </c>
      <c r="AA28" s="22">
        <v>0.64969999999999994</v>
      </c>
      <c r="AB28" s="20">
        <f t="shared" si="20"/>
        <v>251.43389999999997</v>
      </c>
      <c r="AC28" s="23">
        <f t="shared" si="30"/>
        <v>1</v>
      </c>
      <c r="AD28" s="20" t="str">
        <f t="shared" si="21"/>
        <v>YES</v>
      </c>
      <c r="AE28" s="22">
        <f t="shared" si="22"/>
        <v>23.091449139775133</v>
      </c>
      <c r="AF28" s="22">
        <f t="shared" si="23"/>
        <v>0.20992226490704666</v>
      </c>
      <c r="AG28" s="19" t="str">
        <f t="shared" si="24"/>
        <v>YES</v>
      </c>
      <c r="AH28" s="22" t="str">
        <f t="shared" si="25"/>
        <v>NA</v>
      </c>
      <c r="AI28" s="22" t="str">
        <f t="shared" si="26"/>
        <v>NA</v>
      </c>
      <c r="AJ28" s="22" t="str">
        <f t="shared" si="27"/>
        <v>NA</v>
      </c>
      <c r="AK28" s="22" t="str">
        <f t="shared" si="28"/>
        <v>1R X 11kV X 3C X 240 Sqmm</v>
      </c>
      <c r="AL28" s="23">
        <f t="shared" si="29"/>
        <v>460</v>
      </c>
      <c r="AM28" s="47"/>
      <c r="AN28" s="30"/>
      <c r="AO28" s="20"/>
    </row>
    <row r="29" spans="1:41" ht="39.950000000000003" customHeight="1">
      <c r="A29" s="46">
        <v>7</v>
      </c>
      <c r="B29" s="45" t="s">
        <v>97</v>
      </c>
      <c r="C29" s="19" t="s">
        <v>81</v>
      </c>
      <c r="D29" s="19">
        <v>2500</v>
      </c>
      <c r="E29" s="19"/>
      <c r="F29" s="19">
        <v>11</v>
      </c>
      <c r="G29" s="62">
        <v>0.85</v>
      </c>
      <c r="H29" s="62">
        <v>0.92</v>
      </c>
      <c r="I29" s="20">
        <f t="shared" si="16"/>
        <v>131.21981944152844</v>
      </c>
      <c r="J29" s="20">
        <f t="shared" si="17"/>
        <v>0</v>
      </c>
      <c r="K29" s="20">
        <f t="shared" si="18"/>
        <v>0</v>
      </c>
      <c r="L29" s="20">
        <v>50</v>
      </c>
      <c r="M29" s="20">
        <v>0.16</v>
      </c>
      <c r="N29" s="20">
        <f t="shared" si="19"/>
        <v>212.7659574468085</v>
      </c>
      <c r="O29" s="19" t="s">
        <v>66</v>
      </c>
      <c r="P29" s="20" t="s">
        <v>57</v>
      </c>
      <c r="Q29" s="21">
        <v>240</v>
      </c>
      <c r="R29" s="19">
        <v>387</v>
      </c>
      <c r="S29" s="22">
        <v>0.16200000000000001</v>
      </c>
      <c r="T29" s="22">
        <v>8.7999999999999995E-2</v>
      </c>
      <c r="U29" s="19">
        <v>470</v>
      </c>
      <c r="V29" s="19">
        <v>0.89</v>
      </c>
      <c r="W29" s="19">
        <v>0.73</v>
      </c>
      <c r="X29" s="19" t="s">
        <v>142</v>
      </c>
      <c r="Y29" s="19">
        <v>0</v>
      </c>
      <c r="Z29" s="19">
        <v>0</v>
      </c>
      <c r="AA29" s="22">
        <v>0.64969999999999994</v>
      </c>
      <c r="AB29" s="20">
        <f t="shared" si="20"/>
        <v>251.43389999999997</v>
      </c>
      <c r="AC29" s="23">
        <f t="shared" si="30"/>
        <v>1</v>
      </c>
      <c r="AD29" s="20" t="str">
        <f t="shared" si="21"/>
        <v>YES</v>
      </c>
      <c r="AE29" s="22">
        <f t="shared" si="22"/>
        <v>19.661197637127373</v>
      </c>
      <c r="AF29" s="22">
        <f t="shared" si="23"/>
        <v>0.17873816033752157</v>
      </c>
      <c r="AG29" s="19" t="str">
        <f t="shared" si="24"/>
        <v>YES</v>
      </c>
      <c r="AH29" s="22" t="str">
        <f t="shared" si="25"/>
        <v>NA</v>
      </c>
      <c r="AI29" s="22" t="str">
        <f t="shared" si="26"/>
        <v>NA</v>
      </c>
      <c r="AJ29" s="22" t="str">
        <f t="shared" si="27"/>
        <v>NA</v>
      </c>
      <c r="AK29" s="22" t="str">
        <f t="shared" si="28"/>
        <v>1R X 11kV X 3C X 240 Sqmm</v>
      </c>
      <c r="AL29" s="23">
        <f t="shared" si="29"/>
        <v>470</v>
      </c>
      <c r="AM29" s="47"/>
      <c r="AN29" s="30">
        <f t="shared" si="11"/>
        <v>2</v>
      </c>
      <c r="AO29" s="20"/>
    </row>
    <row r="30" spans="1:41" ht="39.950000000000003" customHeight="1">
      <c r="A30" s="46">
        <v>8</v>
      </c>
      <c r="B30" s="45" t="s">
        <v>98</v>
      </c>
      <c r="C30" s="19" t="s">
        <v>81</v>
      </c>
      <c r="D30" s="19">
        <v>3000</v>
      </c>
      <c r="E30" s="48"/>
      <c r="F30" s="19">
        <v>11</v>
      </c>
      <c r="G30" s="62">
        <v>0.85</v>
      </c>
      <c r="H30" s="62">
        <v>0.92</v>
      </c>
      <c r="I30" s="20">
        <f t="shared" si="16"/>
        <v>157.46378332983414</v>
      </c>
      <c r="J30" s="20">
        <f t="shared" si="17"/>
        <v>0</v>
      </c>
      <c r="K30" s="20">
        <f t="shared" si="18"/>
        <v>0</v>
      </c>
      <c r="L30" s="20">
        <v>50</v>
      </c>
      <c r="M30" s="20">
        <v>0.16</v>
      </c>
      <c r="N30" s="20">
        <f t="shared" si="19"/>
        <v>212.7659574468085</v>
      </c>
      <c r="O30" s="19" t="s">
        <v>66</v>
      </c>
      <c r="P30" s="20" t="s">
        <v>57</v>
      </c>
      <c r="Q30" s="21">
        <v>240</v>
      </c>
      <c r="R30" s="19">
        <v>387</v>
      </c>
      <c r="S30" s="22">
        <v>0.16200000000000001</v>
      </c>
      <c r="T30" s="22">
        <v>8.7999999999999995E-2</v>
      </c>
      <c r="U30" s="19">
        <v>460</v>
      </c>
      <c r="V30" s="19">
        <v>0.89</v>
      </c>
      <c r="W30" s="19">
        <v>0.73</v>
      </c>
      <c r="X30" s="19" t="s">
        <v>142</v>
      </c>
      <c r="Y30" s="19">
        <v>0</v>
      </c>
      <c r="Z30" s="19">
        <v>0</v>
      </c>
      <c r="AA30" s="22">
        <v>0.64969999999999994</v>
      </c>
      <c r="AB30" s="20">
        <f t="shared" si="20"/>
        <v>251.43389999999997</v>
      </c>
      <c r="AC30" s="23">
        <f t="shared" si="30"/>
        <v>1</v>
      </c>
      <c r="AD30" s="20" t="str">
        <f t="shared" si="21"/>
        <v>YES</v>
      </c>
      <c r="AE30" s="22">
        <f t="shared" si="22"/>
        <v>23.091449139775133</v>
      </c>
      <c r="AF30" s="22">
        <f t="shared" si="23"/>
        <v>0.20992226490704666</v>
      </c>
      <c r="AG30" s="19" t="str">
        <f t="shared" si="24"/>
        <v>YES</v>
      </c>
      <c r="AH30" s="22" t="str">
        <f t="shared" si="25"/>
        <v>NA</v>
      </c>
      <c r="AI30" s="22" t="str">
        <f t="shared" si="26"/>
        <v>NA</v>
      </c>
      <c r="AJ30" s="22" t="str">
        <f t="shared" si="27"/>
        <v>NA</v>
      </c>
      <c r="AK30" s="22" t="str">
        <f t="shared" si="28"/>
        <v>1R X 11kV X 3C X 240 Sqmm</v>
      </c>
      <c r="AL30" s="23">
        <f t="shared" si="29"/>
        <v>460</v>
      </c>
      <c r="AM30" s="31"/>
      <c r="AN30" s="30">
        <f t="shared" si="11"/>
        <v>2</v>
      </c>
      <c r="AO30" s="20"/>
    </row>
    <row r="31" spans="1:41" ht="39.950000000000003" customHeight="1">
      <c r="A31" s="46">
        <v>9</v>
      </c>
      <c r="B31" s="45" t="s">
        <v>127</v>
      </c>
      <c r="C31" s="19" t="s">
        <v>81</v>
      </c>
      <c r="D31" s="19">
        <v>2500</v>
      </c>
      <c r="E31" s="48"/>
      <c r="F31" s="19">
        <v>11</v>
      </c>
      <c r="G31" s="62">
        <v>0.85</v>
      </c>
      <c r="H31" s="62">
        <v>0.92</v>
      </c>
      <c r="I31" s="20">
        <f t="shared" si="16"/>
        <v>131.21981944152844</v>
      </c>
      <c r="J31" s="20">
        <f t="shared" si="17"/>
        <v>0</v>
      </c>
      <c r="K31" s="20">
        <f t="shared" si="18"/>
        <v>0</v>
      </c>
      <c r="L31" s="20">
        <v>50</v>
      </c>
      <c r="M31" s="20">
        <v>0.16</v>
      </c>
      <c r="N31" s="20">
        <f t="shared" si="19"/>
        <v>212.7659574468085</v>
      </c>
      <c r="O31" s="19" t="s">
        <v>66</v>
      </c>
      <c r="P31" s="20" t="s">
        <v>57</v>
      </c>
      <c r="Q31" s="21">
        <v>240</v>
      </c>
      <c r="R31" s="19">
        <v>387</v>
      </c>
      <c r="S31" s="22">
        <v>0.16200000000000001</v>
      </c>
      <c r="T31" s="22">
        <v>8.7999999999999995E-2</v>
      </c>
      <c r="U31" s="19">
        <v>490</v>
      </c>
      <c r="V31" s="19">
        <v>0.89</v>
      </c>
      <c r="W31" s="19">
        <v>0.73</v>
      </c>
      <c r="X31" s="19" t="s">
        <v>142</v>
      </c>
      <c r="Y31" s="19">
        <v>0</v>
      </c>
      <c r="Z31" s="19">
        <v>0</v>
      </c>
      <c r="AA31" s="22">
        <v>0.64969999999999994</v>
      </c>
      <c r="AB31" s="20">
        <f t="shared" si="20"/>
        <v>251.43389999999997</v>
      </c>
      <c r="AC31" s="23">
        <f t="shared" si="30"/>
        <v>1</v>
      </c>
      <c r="AD31" s="20" t="str">
        <f t="shared" si="21"/>
        <v>YES</v>
      </c>
      <c r="AE31" s="22">
        <f t="shared" si="22"/>
        <v>20.49784434509024</v>
      </c>
      <c r="AF31" s="22">
        <f t="shared" si="23"/>
        <v>0.18634403950082035</v>
      </c>
      <c r="AG31" s="19" t="str">
        <f t="shared" si="24"/>
        <v>YES</v>
      </c>
      <c r="AH31" s="22" t="str">
        <f t="shared" si="25"/>
        <v>NA</v>
      </c>
      <c r="AI31" s="22" t="str">
        <f t="shared" si="26"/>
        <v>NA</v>
      </c>
      <c r="AJ31" s="22" t="str">
        <f t="shared" si="27"/>
        <v>NA</v>
      </c>
      <c r="AK31" s="22" t="str">
        <f t="shared" si="28"/>
        <v>1R X 11kV X 3C X 240 Sqmm</v>
      </c>
      <c r="AL31" s="23">
        <f t="shared" si="29"/>
        <v>490</v>
      </c>
      <c r="AM31" s="31"/>
      <c r="AN31" s="30">
        <f t="shared" si="11"/>
        <v>2</v>
      </c>
      <c r="AO31" s="20"/>
    </row>
    <row r="32" spans="1:41" ht="39.950000000000003" customHeight="1">
      <c r="A32" s="46">
        <v>10</v>
      </c>
      <c r="B32" s="45" t="s">
        <v>128</v>
      </c>
      <c r="C32" s="19" t="s">
        <v>81</v>
      </c>
      <c r="D32" s="19">
        <v>2500</v>
      </c>
      <c r="E32" s="48"/>
      <c r="F32" s="19">
        <v>11</v>
      </c>
      <c r="G32" s="62">
        <v>0.85</v>
      </c>
      <c r="H32" s="62">
        <v>0.92</v>
      </c>
      <c r="I32" s="20">
        <f t="shared" si="16"/>
        <v>131.21981944152844</v>
      </c>
      <c r="J32" s="20">
        <f t="shared" si="17"/>
        <v>0</v>
      </c>
      <c r="K32" s="20">
        <f t="shared" si="18"/>
        <v>0</v>
      </c>
      <c r="L32" s="20">
        <v>50</v>
      </c>
      <c r="M32" s="20">
        <v>0.16</v>
      </c>
      <c r="N32" s="20">
        <f t="shared" si="19"/>
        <v>212.7659574468085</v>
      </c>
      <c r="O32" s="19" t="s">
        <v>66</v>
      </c>
      <c r="P32" s="20" t="s">
        <v>57</v>
      </c>
      <c r="Q32" s="21">
        <v>240</v>
      </c>
      <c r="R32" s="19">
        <v>387</v>
      </c>
      <c r="S32" s="22">
        <v>0.16200000000000001</v>
      </c>
      <c r="T32" s="22">
        <v>8.7999999999999995E-2</v>
      </c>
      <c r="U32" s="19">
        <v>490</v>
      </c>
      <c r="V32" s="19">
        <v>0.89</v>
      </c>
      <c r="W32" s="19">
        <v>0.73</v>
      </c>
      <c r="X32" s="19" t="s">
        <v>142</v>
      </c>
      <c r="Y32" s="19">
        <v>0</v>
      </c>
      <c r="Z32" s="19">
        <v>0</v>
      </c>
      <c r="AA32" s="22">
        <v>0.64969999999999994</v>
      </c>
      <c r="AB32" s="20">
        <f t="shared" si="20"/>
        <v>251.43389999999997</v>
      </c>
      <c r="AC32" s="23">
        <f t="shared" si="30"/>
        <v>1</v>
      </c>
      <c r="AD32" s="20" t="str">
        <f t="shared" si="21"/>
        <v>YES</v>
      </c>
      <c r="AE32" s="22">
        <f t="shared" si="22"/>
        <v>20.49784434509024</v>
      </c>
      <c r="AF32" s="22">
        <f t="shared" si="23"/>
        <v>0.18634403950082035</v>
      </c>
      <c r="AG32" s="19" t="str">
        <f t="shared" si="24"/>
        <v>YES</v>
      </c>
      <c r="AH32" s="22" t="str">
        <f t="shared" si="25"/>
        <v>NA</v>
      </c>
      <c r="AI32" s="22" t="str">
        <f t="shared" si="26"/>
        <v>NA</v>
      </c>
      <c r="AJ32" s="22" t="str">
        <f t="shared" si="27"/>
        <v>NA</v>
      </c>
      <c r="AK32" s="22" t="str">
        <f t="shared" si="28"/>
        <v>1R X 11kV X 3C X 240 Sqmm</v>
      </c>
      <c r="AL32" s="23">
        <f t="shared" si="29"/>
        <v>490</v>
      </c>
      <c r="AM32" s="31"/>
      <c r="AN32" s="30">
        <f t="shared" si="11"/>
        <v>2</v>
      </c>
      <c r="AO32" s="20"/>
    </row>
    <row r="33" spans="1:41" ht="39.950000000000003" customHeight="1">
      <c r="A33" s="46">
        <v>11</v>
      </c>
      <c r="B33" s="45" t="s">
        <v>129</v>
      </c>
      <c r="C33" s="19" t="s">
        <v>81</v>
      </c>
      <c r="D33" s="19">
        <v>2500</v>
      </c>
      <c r="E33" s="48"/>
      <c r="F33" s="19">
        <v>11</v>
      </c>
      <c r="G33" s="62">
        <v>0.85</v>
      </c>
      <c r="H33" s="62">
        <v>0.92</v>
      </c>
      <c r="I33" s="20">
        <f t="shared" si="16"/>
        <v>131.21981944152844</v>
      </c>
      <c r="J33" s="20">
        <f t="shared" si="17"/>
        <v>0</v>
      </c>
      <c r="K33" s="20">
        <f t="shared" si="18"/>
        <v>0</v>
      </c>
      <c r="L33" s="20">
        <v>50</v>
      </c>
      <c r="M33" s="20">
        <v>0.16</v>
      </c>
      <c r="N33" s="20">
        <f t="shared" si="19"/>
        <v>212.7659574468085</v>
      </c>
      <c r="O33" s="19" t="s">
        <v>66</v>
      </c>
      <c r="P33" s="20" t="s">
        <v>57</v>
      </c>
      <c r="Q33" s="21">
        <v>240</v>
      </c>
      <c r="R33" s="19">
        <v>387</v>
      </c>
      <c r="S33" s="22">
        <v>0.16200000000000001</v>
      </c>
      <c r="T33" s="22">
        <v>8.7999999999999995E-2</v>
      </c>
      <c r="U33" s="19">
        <v>490</v>
      </c>
      <c r="V33" s="19">
        <v>0.89</v>
      </c>
      <c r="W33" s="19">
        <v>0.73</v>
      </c>
      <c r="X33" s="19" t="s">
        <v>142</v>
      </c>
      <c r="Y33" s="19">
        <v>0</v>
      </c>
      <c r="Z33" s="19">
        <v>0</v>
      </c>
      <c r="AA33" s="22">
        <v>0.64969999999999994</v>
      </c>
      <c r="AB33" s="20">
        <f t="shared" si="20"/>
        <v>251.43389999999997</v>
      </c>
      <c r="AC33" s="23">
        <f t="shared" si="30"/>
        <v>1</v>
      </c>
      <c r="AD33" s="20" t="str">
        <f t="shared" si="21"/>
        <v>YES</v>
      </c>
      <c r="AE33" s="22">
        <f t="shared" si="22"/>
        <v>20.49784434509024</v>
      </c>
      <c r="AF33" s="22">
        <f t="shared" si="23"/>
        <v>0.18634403950082035</v>
      </c>
      <c r="AG33" s="19" t="str">
        <f t="shared" si="24"/>
        <v>YES</v>
      </c>
      <c r="AH33" s="22" t="str">
        <f t="shared" si="25"/>
        <v>NA</v>
      </c>
      <c r="AI33" s="22" t="str">
        <f t="shared" si="26"/>
        <v>NA</v>
      </c>
      <c r="AJ33" s="22" t="str">
        <f t="shared" si="27"/>
        <v>NA</v>
      </c>
      <c r="AK33" s="22" t="str">
        <f t="shared" si="28"/>
        <v>1R X 11kV X 3C X 240 Sqmm</v>
      </c>
      <c r="AL33" s="23">
        <f t="shared" si="29"/>
        <v>490</v>
      </c>
      <c r="AM33" s="31"/>
      <c r="AN33" s="30">
        <f t="shared" si="11"/>
        <v>2</v>
      </c>
      <c r="AO33" s="20"/>
    </row>
    <row r="34" spans="1:41" ht="39.950000000000003" customHeight="1">
      <c r="A34" s="46">
        <v>12</v>
      </c>
      <c r="B34" s="77" t="s">
        <v>130</v>
      </c>
      <c r="C34" s="53" t="s">
        <v>81</v>
      </c>
      <c r="D34" s="53">
        <v>3000</v>
      </c>
      <c r="E34" s="78"/>
      <c r="F34" s="53">
        <v>11</v>
      </c>
      <c r="G34" s="54">
        <v>0.85</v>
      </c>
      <c r="H34" s="54">
        <v>0.92</v>
      </c>
      <c r="I34" s="54">
        <f t="shared" si="16"/>
        <v>157.46378332983414</v>
      </c>
      <c r="J34" s="54">
        <f t="shared" si="17"/>
        <v>0</v>
      </c>
      <c r="K34" s="54">
        <f t="shared" si="18"/>
        <v>0</v>
      </c>
      <c r="L34" s="54">
        <v>50</v>
      </c>
      <c r="M34" s="54">
        <v>0.16</v>
      </c>
      <c r="N34" s="54">
        <f t="shared" si="19"/>
        <v>212.7659574468085</v>
      </c>
      <c r="O34" s="53" t="s">
        <v>66</v>
      </c>
      <c r="P34" s="54" t="s">
        <v>57</v>
      </c>
      <c r="Q34" s="55">
        <v>240</v>
      </c>
      <c r="R34" s="53">
        <v>387</v>
      </c>
      <c r="S34" s="56">
        <v>0.16200000000000001</v>
      </c>
      <c r="T34" s="56">
        <v>8.7999999999999995E-2</v>
      </c>
      <c r="U34" s="53">
        <v>1100</v>
      </c>
      <c r="V34" s="53">
        <v>0.89</v>
      </c>
      <c r="W34" s="53">
        <v>0.73</v>
      </c>
      <c r="X34" s="53" t="s">
        <v>142</v>
      </c>
      <c r="Y34" s="53">
        <v>0</v>
      </c>
      <c r="Z34" s="53">
        <v>0</v>
      </c>
      <c r="AA34" s="56">
        <v>0.64969999999999994</v>
      </c>
      <c r="AB34" s="54">
        <f t="shared" si="20"/>
        <v>251.43389999999997</v>
      </c>
      <c r="AC34" s="57">
        <f t="shared" si="30"/>
        <v>1</v>
      </c>
      <c r="AD34" s="54" t="str">
        <f t="shared" si="21"/>
        <v>YES</v>
      </c>
      <c r="AE34" s="56">
        <f t="shared" si="22"/>
        <v>55.218682725549236</v>
      </c>
      <c r="AF34" s="56">
        <f t="shared" si="23"/>
        <v>0.50198802477772031</v>
      </c>
      <c r="AG34" s="53" t="str">
        <f t="shared" si="24"/>
        <v>YES</v>
      </c>
      <c r="AH34" s="56" t="str">
        <f t="shared" si="25"/>
        <v>NA</v>
      </c>
      <c r="AI34" s="56" t="str">
        <f t="shared" si="26"/>
        <v>NA</v>
      </c>
      <c r="AJ34" s="56" t="str">
        <f t="shared" si="27"/>
        <v>NA</v>
      </c>
      <c r="AK34" s="56" t="str">
        <f t="shared" si="28"/>
        <v>1R X 11kV X 3C X 240 Sqmm</v>
      </c>
      <c r="AL34" s="57">
        <f t="shared" si="29"/>
        <v>1100</v>
      </c>
      <c r="AM34" s="79"/>
      <c r="AN34" s="30">
        <f t="shared" si="11"/>
        <v>2</v>
      </c>
      <c r="AO34" s="20"/>
    </row>
    <row r="35" spans="1:41" ht="39.950000000000003" customHeight="1" thickBot="1">
      <c r="A35" s="46">
        <v>13</v>
      </c>
      <c r="B35" s="77"/>
      <c r="C35" s="53"/>
      <c r="D35" s="53"/>
      <c r="E35" s="78"/>
      <c r="F35" s="53"/>
      <c r="G35" s="54"/>
      <c r="H35" s="54"/>
      <c r="I35" s="54"/>
      <c r="J35" s="54"/>
      <c r="K35" s="54"/>
      <c r="L35" s="54"/>
      <c r="M35" s="54"/>
      <c r="N35" s="54"/>
      <c r="O35" s="53"/>
      <c r="P35" s="54"/>
      <c r="Q35" s="55"/>
      <c r="R35" s="53"/>
      <c r="S35" s="56"/>
      <c r="T35" s="56"/>
      <c r="U35" s="53"/>
      <c r="V35" s="53"/>
      <c r="W35" s="53"/>
      <c r="X35" s="53"/>
      <c r="Y35" s="53"/>
      <c r="Z35" s="53"/>
      <c r="AA35" s="56"/>
      <c r="AB35" s="54"/>
      <c r="AC35" s="57"/>
      <c r="AD35" s="54"/>
      <c r="AE35" s="56"/>
      <c r="AF35" s="56"/>
      <c r="AG35" s="53"/>
      <c r="AH35" s="56"/>
      <c r="AI35" s="56"/>
      <c r="AJ35" s="56"/>
      <c r="AK35" s="56"/>
      <c r="AL35" s="57"/>
      <c r="AM35" s="79"/>
      <c r="AN35" s="30"/>
      <c r="AO35" s="20"/>
    </row>
    <row r="36" spans="1:41" s="42" customFormat="1" ht="39.950000000000003" customHeight="1" thickBot="1">
      <c r="A36" s="89"/>
      <c r="B36" s="90" t="s">
        <v>150</v>
      </c>
      <c r="C36" s="83"/>
      <c r="D36" s="83"/>
      <c r="E36" s="83"/>
      <c r="F36" s="83"/>
      <c r="G36" s="84"/>
      <c r="H36" s="84"/>
      <c r="I36" s="84"/>
      <c r="J36" s="84"/>
      <c r="K36" s="84"/>
      <c r="L36" s="84"/>
      <c r="M36" s="84"/>
      <c r="N36" s="84"/>
      <c r="O36" s="83"/>
      <c r="P36" s="84"/>
      <c r="Q36" s="85"/>
      <c r="R36" s="83"/>
      <c r="S36" s="86"/>
      <c r="T36" s="83"/>
      <c r="U36" s="83"/>
      <c r="V36" s="83"/>
      <c r="W36" s="83"/>
      <c r="X36" s="83"/>
      <c r="Y36" s="83"/>
      <c r="Z36" s="83"/>
      <c r="AA36" s="86"/>
      <c r="AB36" s="84"/>
      <c r="AC36" s="87"/>
      <c r="AD36" s="84"/>
      <c r="AE36" s="86"/>
      <c r="AF36" s="86"/>
      <c r="AG36" s="83"/>
      <c r="AH36" s="86"/>
      <c r="AI36" s="86"/>
      <c r="AJ36" s="86"/>
      <c r="AK36" s="86"/>
      <c r="AL36" s="87"/>
      <c r="AM36" s="88"/>
      <c r="AN36" s="30">
        <f t="shared" si="11"/>
        <v>0</v>
      </c>
      <c r="AO36" s="40"/>
    </row>
    <row r="37" spans="1:41" ht="39.950000000000003" customHeight="1">
      <c r="A37" s="58">
        <v>1</v>
      </c>
      <c r="B37" s="59" t="s">
        <v>151</v>
      </c>
      <c r="C37" s="60" t="s">
        <v>47</v>
      </c>
      <c r="D37" s="60"/>
      <c r="E37" s="60">
        <v>2450</v>
      </c>
      <c r="F37" s="60">
        <v>11</v>
      </c>
      <c r="G37" s="20">
        <v>0.77</v>
      </c>
      <c r="H37" s="20">
        <v>0.94499999999999995</v>
      </c>
      <c r="I37" s="62">
        <f t="shared" ref="I37:I49" si="31">IF(D37="",(E37/(1.732*F37*G37*H37)),(D37/(1.732*F37)))</f>
        <v>176.72702955088008</v>
      </c>
      <c r="J37" s="62">
        <f t="shared" ref="J37:J49" si="32">IF(C37="M",7.2*I37,0)</f>
        <v>1272.4346127663366</v>
      </c>
      <c r="K37" s="62">
        <f t="shared" ref="K37:K49" si="33">IF(C37="M",0.2,0)</f>
        <v>0.2</v>
      </c>
      <c r="L37" s="62">
        <v>50</v>
      </c>
      <c r="M37" s="62">
        <v>0.16</v>
      </c>
      <c r="N37" s="62">
        <f t="shared" ref="N37:N49" si="34">(L37*1000*SQRT(M37)/94)</f>
        <v>212.7659574468085</v>
      </c>
      <c r="O37" s="60" t="s">
        <v>66</v>
      </c>
      <c r="P37" s="62" t="s">
        <v>57</v>
      </c>
      <c r="Q37" s="63">
        <v>240</v>
      </c>
      <c r="R37" s="60">
        <v>387</v>
      </c>
      <c r="S37" s="64">
        <v>0.16200000000000001</v>
      </c>
      <c r="T37" s="64">
        <v>8.7999999999999995E-2</v>
      </c>
      <c r="U37" s="60">
        <v>475</v>
      </c>
      <c r="V37" s="60">
        <v>0.89</v>
      </c>
      <c r="W37" s="60">
        <v>0.73</v>
      </c>
      <c r="X37" s="60" t="s">
        <v>142</v>
      </c>
      <c r="Y37" s="60">
        <v>0</v>
      </c>
      <c r="Z37" s="60">
        <v>0</v>
      </c>
      <c r="AA37" s="64">
        <v>0.64969999999999994</v>
      </c>
      <c r="AB37" s="62">
        <f t="shared" ref="AB37:AB49" si="35">R37*AA37</f>
        <v>251.43389999999997</v>
      </c>
      <c r="AC37" s="65">
        <f>ROUNDUP(((I37)/AB37),0)</f>
        <v>1</v>
      </c>
      <c r="AD37" s="62" t="str">
        <f t="shared" ref="AD37:AD49" si="36">IF(AB37*AC37&gt;=I37,"YES","NO")</f>
        <v>YES</v>
      </c>
      <c r="AE37" s="64">
        <f t="shared" ref="AE37:AE49" si="37">IF(C37="M",(SQRT(3)*I37*(U37/1000)*((S37/AC37)*G37+(T37/AC37)*SIN(ACOS(G37)))),(SQRT(3)*I37*(U37/1000)*((S37/AC37)*G37+(T37/AC37)*SIN(ACOS(G37)))))</f>
        <v>26.300659596401964</v>
      </c>
      <c r="AF37" s="64">
        <f t="shared" ref="AF37:AF49" si="38">(AE37/(F37*1000))*100</f>
        <v>0.23909690542183604</v>
      </c>
      <c r="AG37" s="60" t="str">
        <f t="shared" ref="AG37:AG49" si="39">IF(C37="I",IF(AF37&lt;=2,"YES","NO"),IF(AF37&lt;=3,"YES","NO"))</f>
        <v>YES</v>
      </c>
      <c r="AH37" s="64">
        <f t="shared" ref="AH37:AH49" si="40">IF(C37="M",(SQRT(3)*J37*(U37/1000)*((S37/AC37)*K37+(T37/AC37)*SIN(ACOS(K37)))),"NA")</f>
        <v>124.18098374098255</v>
      </c>
      <c r="AI37" s="64">
        <f t="shared" ref="AI37:AI49" si="41">IF(C37="M",(AH37/(F37*1000))*100,"NA")</f>
        <v>1.1289180340089322</v>
      </c>
      <c r="AJ37" s="64" t="str">
        <f t="shared" ref="AJ37:AJ49" si="42">IF(C37="M",IF(AI37&lt;=10,"YES","NO"),"NA")</f>
        <v>YES</v>
      </c>
      <c r="AK37" s="64" t="str">
        <f t="shared" ref="AK37:AK49" si="43">IF(C37="M",IF(AND(Q37&gt;=N37,AD37="YES",AG37="YES",AJ37="YES"),CONCATENATE(AC37,"R X ",F37,"kV X ",P37," X ",Q37," Sqmm"),"Cable size is not correct"),IF(AND(Q37&gt;=N37,AD37="YES",AG37="YES",AJ37="NA"),CONCATENATE(AC37,"R X ",F37,"kV X ",P37," X ",Q37," Sqmm"),"Cable size is not correct"))</f>
        <v>1R X 11kV X 3C X 240 Sqmm</v>
      </c>
      <c r="AL37" s="65">
        <f t="shared" ref="AL37:AL49" si="44">IF(P37="1C",3*U37*AC37,U37*AC37)</f>
        <v>475</v>
      </c>
      <c r="AM37" s="74"/>
      <c r="AN37" s="30">
        <f t="shared" si="11"/>
        <v>2</v>
      </c>
      <c r="AO37" s="20"/>
    </row>
    <row r="38" spans="1:41" ht="39.950000000000003" customHeight="1">
      <c r="A38" s="46">
        <v>2</v>
      </c>
      <c r="B38" s="45" t="s">
        <v>152</v>
      </c>
      <c r="C38" s="19" t="s">
        <v>47</v>
      </c>
      <c r="D38" s="19"/>
      <c r="E38" s="19">
        <v>3900</v>
      </c>
      <c r="F38" s="19">
        <v>11</v>
      </c>
      <c r="G38" s="20">
        <v>0.88</v>
      </c>
      <c r="H38" s="20">
        <v>0.95</v>
      </c>
      <c r="I38" s="20">
        <f t="shared" si="31"/>
        <v>244.85995015404831</v>
      </c>
      <c r="J38" s="20">
        <f t="shared" si="32"/>
        <v>1762.9916411091478</v>
      </c>
      <c r="K38" s="20">
        <f t="shared" si="33"/>
        <v>0.2</v>
      </c>
      <c r="L38" s="20">
        <v>50</v>
      </c>
      <c r="M38" s="20">
        <v>0.16</v>
      </c>
      <c r="N38" s="20">
        <f t="shared" si="34"/>
        <v>212.7659574468085</v>
      </c>
      <c r="O38" s="19" t="s">
        <v>66</v>
      </c>
      <c r="P38" s="20" t="s">
        <v>57</v>
      </c>
      <c r="Q38" s="21">
        <v>300</v>
      </c>
      <c r="R38" s="19">
        <v>441</v>
      </c>
      <c r="S38" s="22">
        <v>0.13</v>
      </c>
      <c r="T38" s="22">
        <v>8.5999999999999993E-2</v>
      </c>
      <c r="U38" s="19">
        <v>500</v>
      </c>
      <c r="V38" s="19">
        <v>0.89</v>
      </c>
      <c r="W38" s="19">
        <v>0.73</v>
      </c>
      <c r="X38" s="19" t="s">
        <v>142</v>
      </c>
      <c r="Y38" s="19">
        <v>0</v>
      </c>
      <c r="Z38" s="19">
        <v>0</v>
      </c>
      <c r="AA38" s="22">
        <v>0.64969999999999994</v>
      </c>
      <c r="AB38" s="20">
        <f t="shared" si="35"/>
        <v>286.51769999999999</v>
      </c>
      <c r="AC38" s="23">
        <f t="shared" ref="AC38:AC49" si="45">ROUNDUP(((I38)/AB38),0)</f>
        <v>1</v>
      </c>
      <c r="AD38" s="20" t="str">
        <f t="shared" si="36"/>
        <v>YES</v>
      </c>
      <c r="AE38" s="22">
        <f t="shared" si="37"/>
        <v>32.921049073634265</v>
      </c>
      <c r="AF38" s="22">
        <f t="shared" si="38"/>
        <v>0.29928226430576604</v>
      </c>
      <c r="AG38" s="19" t="str">
        <f t="shared" si="39"/>
        <v>YES</v>
      </c>
      <c r="AH38" s="22">
        <f t="shared" si="40"/>
        <v>168.34821340744261</v>
      </c>
      <c r="AI38" s="22">
        <f t="shared" si="41"/>
        <v>1.5304383037040239</v>
      </c>
      <c r="AJ38" s="22" t="str">
        <f t="shared" si="42"/>
        <v>YES</v>
      </c>
      <c r="AK38" s="22" t="str">
        <f t="shared" si="43"/>
        <v>1R X 11kV X 3C X 300 Sqmm</v>
      </c>
      <c r="AL38" s="23">
        <f t="shared" si="44"/>
        <v>500</v>
      </c>
      <c r="AM38" s="31"/>
      <c r="AN38" s="30">
        <f t="shared" si="11"/>
        <v>2</v>
      </c>
      <c r="AO38" s="20"/>
    </row>
    <row r="39" spans="1:41" s="122" customFormat="1" ht="39.950000000000003" customHeight="1">
      <c r="A39" s="113">
        <v>3</v>
      </c>
      <c r="B39" s="114" t="s">
        <v>131</v>
      </c>
      <c r="C39" s="115" t="s">
        <v>47</v>
      </c>
      <c r="D39" s="115"/>
      <c r="E39" s="115">
        <v>4325</v>
      </c>
      <c r="F39" s="115">
        <v>11</v>
      </c>
      <c r="G39" s="116">
        <v>0.77</v>
      </c>
      <c r="H39" s="116">
        <v>0.94499999999999995</v>
      </c>
      <c r="I39" s="116">
        <f t="shared" si="31"/>
        <v>311.97730726839035</v>
      </c>
      <c r="J39" s="116">
        <f t="shared" si="32"/>
        <v>2246.2366123324105</v>
      </c>
      <c r="K39" s="116">
        <f t="shared" si="33"/>
        <v>0.2</v>
      </c>
      <c r="L39" s="116">
        <v>50</v>
      </c>
      <c r="M39" s="116">
        <v>0.16</v>
      </c>
      <c r="N39" s="116">
        <f t="shared" si="34"/>
        <v>212.7659574468085</v>
      </c>
      <c r="O39" s="115" t="s">
        <v>66</v>
      </c>
      <c r="P39" s="116" t="s">
        <v>56</v>
      </c>
      <c r="Q39" s="117">
        <v>300</v>
      </c>
      <c r="R39" s="115">
        <v>387</v>
      </c>
      <c r="S39" s="118">
        <v>0.16200000000000001</v>
      </c>
      <c r="T39" s="118">
        <v>8.7999999999999995E-2</v>
      </c>
      <c r="U39" s="115">
        <v>750</v>
      </c>
      <c r="V39" s="115">
        <v>0.89</v>
      </c>
      <c r="W39" s="115">
        <v>0.73</v>
      </c>
      <c r="X39" s="115" t="s">
        <v>142</v>
      </c>
      <c r="Y39" s="115">
        <v>0</v>
      </c>
      <c r="Z39" s="115">
        <v>0</v>
      </c>
      <c r="AA39" s="118">
        <v>0.64969999999999994</v>
      </c>
      <c r="AB39" s="116">
        <f t="shared" si="35"/>
        <v>251.43389999999997</v>
      </c>
      <c r="AC39" s="119">
        <v>2</v>
      </c>
      <c r="AD39" s="116" t="str">
        <f t="shared" si="36"/>
        <v>YES</v>
      </c>
      <c r="AE39" s="118">
        <f t="shared" si="37"/>
        <v>36.654249007874924</v>
      </c>
      <c r="AF39" s="118">
        <f t="shared" si="38"/>
        <v>0.33322044552613567</v>
      </c>
      <c r="AG39" s="115" t="str">
        <f t="shared" si="39"/>
        <v>YES</v>
      </c>
      <c r="AH39" s="118">
        <f t="shared" si="40"/>
        <v>173.06640859712658</v>
      </c>
      <c r="AI39" s="118">
        <f t="shared" si="41"/>
        <v>1.5733309872466053</v>
      </c>
      <c r="AJ39" s="118" t="str">
        <f t="shared" si="42"/>
        <v>YES</v>
      </c>
      <c r="AK39" s="118" t="str">
        <f t="shared" si="43"/>
        <v>2R X 11kV X 1C X 300 Sqmm</v>
      </c>
      <c r="AL39" s="119">
        <f t="shared" si="44"/>
        <v>4500</v>
      </c>
      <c r="AM39" s="120"/>
      <c r="AN39" s="121">
        <f t="shared" si="11"/>
        <v>4</v>
      </c>
      <c r="AO39" s="116"/>
    </row>
    <row r="40" spans="1:41" ht="39.950000000000003" customHeight="1">
      <c r="A40" s="46">
        <v>4</v>
      </c>
      <c r="B40" s="45" t="s">
        <v>153</v>
      </c>
      <c r="C40" s="19" t="s">
        <v>47</v>
      </c>
      <c r="D40" s="19"/>
      <c r="E40" s="19">
        <v>11350</v>
      </c>
      <c r="F40" s="19">
        <v>11</v>
      </c>
      <c r="G40" s="20">
        <v>0.85</v>
      </c>
      <c r="H40" s="20">
        <v>0.97</v>
      </c>
      <c r="I40" s="20">
        <f t="shared" si="31"/>
        <v>722.54454853188508</v>
      </c>
      <c r="J40" s="20">
        <f t="shared" si="32"/>
        <v>5202.320749429573</v>
      </c>
      <c r="K40" s="20">
        <f t="shared" si="33"/>
        <v>0.2</v>
      </c>
      <c r="L40" s="20">
        <v>50</v>
      </c>
      <c r="M40" s="20">
        <v>0.16</v>
      </c>
      <c r="N40" s="20">
        <f t="shared" si="34"/>
        <v>212.7659574468085</v>
      </c>
      <c r="O40" s="19" t="s">
        <v>66</v>
      </c>
      <c r="P40" s="20" t="s">
        <v>56</v>
      </c>
      <c r="Q40" s="21">
        <v>400</v>
      </c>
      <c r="R40" s="19">
        <v>575</v>
      </c>
      <c r="S40" s="22">
        <v>0.1018</v>
      </c>
      <c r="T40" s="22">
        <v>9.3700000000000006E-2</v>
      </c>
      <c r="U40" s="19">
        <v>410</v>
      </c>
      <c r="V40" s="19">
        <v>0.89</v>
      </c>
      <c r="W40" s="19">
        <v>0.78</v>
      </c>
      <c r="X40" s="19" t="s">
        <v>142</v>
      </c>
      <c r="Y40" s="19">
        <v>0</v>
      </c>
      <c r="Z40" s="19">
        <v>0</v>
      </c>
      <c r="AA40" s="22">
        <v>0.69420000000000004</v>
      </c>
      <c r="AB40" s="20">
        <f t="shared" si="35"/>
        <v>399.16500000000002</v>
      </c>
      <c r="AC40" s="23">
        <f t="shared" si="45"/>
        <v>2</v>
      </c>
      <c r="AD40" s="20" t="str">
        <f t="shared" si="36"/>
        <v>YES</v>
      </c>
      <c r="AE40" s="22">
        <f t="shared" si="37"/>
        <v>34.863030729491264</v>
      </c>
      <c r="AF40" s="22">
        <f t="shared" si="38"/>
        <v>0.31693664299537511</v>
      </c>
      <c r="AG40" s="19" t="str">
        <f t="shared" si="39"/>
        <v>YES</v>
      </c>
      <c r="AH40" s="22">
        <f t="shared" si="40"/>
        <v>207.19355221381022</v>
      </c>
      <c r="AI40" s="22">
        <f t="shared" si="41"/>
        <v>1.8835777473982747</v>
      </c>
      <c r="AJ40" s="22" t="str">
        <f t="shared" si="42"/>
        <v>YES</v>
      </c>
      <c r="AK40" s="22" t="str">
        <f t="shared" si="43"/>
        <v>2R X 11kV X 1C X 400 Sqmm</v>
      </c>
      <c r="AL40" s="23">
        <f t="shared" si="44"/>
        <v>2460</v>
      </c>
      <c r="AM40" s="47"/>
      <c r="AN40" s="30">
        <f t="shared" si="11"/>
        <v>4</v>
      </c>
      <c r="AO40" s="20"/>
    </row>
    <row r="41" spans="1:41" ht="39.950000000000003" customHeight="1">
      <c r="A41" s="46">
        <v>5</v>
      </c>
      <c r="B41" s="45" t="s">
        <v>91</v>
      </c>
      <c r="C41" s="19" t="s">
        <v>47</v>
      </c>
      <c r="D41" s="19"/>
      <c r="E41" s="19">
        <v>13000</v>
      </c>
      <c r="F41" s="19">
        <v>11</v>
      </c>
      <c r="G41" s="20">
        <v>0.85</v>
      </c>
      <c r="H41" s="20">
        <v>0.97</v>
      </c>
      <c r="I41" s="20">
        <f t="shared" si="31"/>
        <v>827.58406439775388</v>
      </c>
      <c r="J41" s="20">
        <f t="shared" si="32"/>
        <v>5958.6052636638278</v>
      </c>
      <c r="K41" s="20">
        <f t="shared" si="33"/>
        <v>0.2</v>
      </c>
      <c r="L41" s="20">
        <v>50</v>
      </c>
      <c r="M41" s="20">
        <v>0.16</v>
      </c>
      <c r="N41" s="20">
        <f t="shared" si="34"/>
        <v>212.7659574468085</v>
      </c>
      <c r="O41" s="19" t="s">
        <v>66</v>
      </c>
      <c r="P41" s="20" t="s">
        <v>56</v>
      </c>
      <c r="Q41" s="21">
        <v>400</v>
      </c>
      <c r="R41" s="19">
        <v>575</v>
      </c>
      <c r="S41" s="22">
        <v>0.1018</v>
      </c>
      <c r="T41" s="22">
        <v>9.3700000000000006E-2</v>
      </c>
      <c r="U41" s="19">
        <v>85</v>
      </c>
      <c r="V41" s="19">
        <v>0.89</v>
      </c>
      <c r="W41" s="19">
        <v>0.78</v>
      </c>
      <c r="X41" s="19" t="s">
        <v>142</v>
      </c>
      <c r="Y41" s="19">
        <v>0</v>
      </c>
      <c r="Z41" s="19">
        <v>0</v>
      </c>
      <c r="AA41" s="22">
        <v>0.69420000000000004</v>
      </c>
      <c r="AB41" s="20">
        <f t="shared" si="35"/>
        <v>399.16500000000002</v>
      </c>
      <c r="AC41" s="23">
        <f t="shared" si="45"/>
        <v>3</v>
      </c>
      <c r="AD41" s="20" t="str">
        <f t="shared" si="36"/>
        <v>YES</v>
      </c>
      <c r="AE41" s="22">
        <f t="shared" si="37"/>
        <v>5.5189497447925016</v>
      </c>
      <c r="AF41" s="22">
        <f t="shared" si="38"/>
        <v>5.017227040720456E-2</v>
      </c>
      <c r="AG41" s="19" t="str">
        <f t="shared" si="39"/>
        <v>YES</v>
      </c>
      <c r="AH41" s="22">
        <f t="shared" si="40"/>
        <v>32.799523684146024</v>
      </c>
      <c r="AI41" s="22">
        <f t="shared" si="41"/>
        <v>0.29817748803769112</v>
      </c>
      <c r="AJ41" s="22" t="str">
        <f t="shared" si="42"/>
        <v>YES</v>
      </c>
      <c r="AK41" s="22" t="str">
        <f t="shared" si="43"/>
        <v>3R X 11kV X 1C X 400 Sqmm</v>
      </c>
      <c r="AL41" s="23">
        <f t="shared" si="44"/>
        <v>765</v>
      </c>
      <c r="AM41" s="47"/>
      <c r="AN41" s="30">
        <f t="shared" si="11"/>
        <v>6</v>
      </c>
      <c r="AO41" s="20"/>
    </row>
    <row r="42" spans="1:41" ht="39.950000000000003" customHeight="1">
      <c r="A42" s="46">
        <v>6</v>
      </c>
      <c r="B42" s="45" t="s">
        <v>97</v>
      </c>
      <c r="C42" s="19" t="s">
        <v>81</v>
      </c>
      <c r="D42" s="19">
        <v>2500</v>
      </c>
      <c r="E42" s="19"/>
      <c r="F42" s="19">
        <v>11</v>
      </c>
      <c r="G42" s="20">
        <v>0.85</v>
      </c>
      <c r="H42" s="20">
        <v>0.92</v>
      </c>
      <c r="I42" s="20">
        <f t="shared" si="31"/>
        <v>131.21981944152844</v>
      </c>
      <c r="J42" s="20">
        <f t="shared" si="32"/>
        <v>0</v>
      </c>
      <c r="K42" s="20">
        <f t="shared" si="33"/>
        <v>0</v>
      </c>
      <c r="L42" s="20">
        <v>50</v>
      </c>
      <c r="M42" s="20">
        <v>0.16</v>
      </c>
      <c r="N42" s="20">
        <f t="shared" si="34"/>
        <v>212.7659574468085</v>
      </c>
      <c r="O42" s="19" t="s">
        <v>66</v>
      </c>
      <c r="P42" s="20" t="s">
        <v>57</v>
      </c>
      <c r="Q42" s="21">
        <v>240</v>
      </c>
      <c r="R42" s="19">
        <v>387</v>
      </c>
      <c r="S42" s="22">
        <v>0.16200000000000001</v>
      </c>
      <c r="T42" s="22">
        <v>8.7999999999999995E-2</v>
      </c>
      <c r="U42" s="19">
        <v>470</v>
      </c>
      <c r="V42" s="19">
        <v>0.89</v>
      </c>
      <c r="W42" s="19">
        <v>0.73</v>
      </c>
      <c r="X42" s="19" t="s">
        <v>142</v>
      </c>
      <c r="Y42" s="19">
        <v>0</v>
      </c>
      <c r="Z42" s="19">
        <v>0</v>
      </c>
      <c r="AA42" s="22">
        <v>0.64969999999999994</v>
      </c>
      <c r="AB42" s="20">
        <f t="shared" si="35"/>
        <v>251.43389999999997</v>
      </c>
      <c r="AC42" s="23">
        <f t="shared" si="45"/>
        <v>1</v>
      </c>
      <c r="AD42" s="20" t="str">
        <f t="shared" si="36"/>
        <v>YES</v>
      </c>
      <c r="AE42" s="22">
        <f t="shared" si="37"/>
        <v>19.661197637127373</v>
      </c>
      <c r="AF42" s="22">
        <f t="shared" si="38"/>
        <v>0.17873816033752157</v>
      </c>
      <c r="AG42" s="19" t="str">
        <f t="shared" si="39"/>
        <v>YES</v>
      </c>
      <c r="AH42" s="22" t="str">
        <f t="shared" si="40"/>
        <v>NA</v>
      </c>
      <c r="AI42" s="22" t="str">
        <f t="shared" si="41"/>
        <v>NA</v>
      </c>
      <c r="AJ42" s="22" t="str">
        <f t="shared" si="42"/>
        <v>NA</v>
      </c>
      <c r="AK42" s="22" t="str">
        <f t="shared" si="43"/>
        <v>1R X 11kV X 3C X 240 Sqmm</v>
      </c>
      <c r="AL42" s="23">
        <f t="shared" si="44"/>
        <v>470</v>
      </c>
      <c r="AM42" s="47"/>
      <c r="AN42" s="30">
        <f t="shared" si="11"/>
        <v>2</v>
      </c>
      <c r="AO42" s="20"/>
    </row>
    <row r="43" spans="1:41" ht="39.950000000000003" customHeight="1">
      <c r="A43" s="46">
        <v>7</v>
      </c>
      <c r="B43" s="45" t="s">
        <v>98</v>
      </c>
      <c r="C43" s="19" t="s">
        <v>81</v>
      </c>
      <c r="D43" s="19">
        <v>3000</v>
      </c>
      <c r="E43" s="48"/>
      <c r="F43" s="19">
        <v>11</v>
      </c>
      <c r="G43" s="20">
        <v>0.85</v>
      </c>
      <c r="H43" s="20">
        <v>0.92</v>
      </c>
      <c r="I43" s="20">
        <f t="shared" si="31"/>
        <v>157.46378332983414</v>
      </c>
      <c r="J43" s="20">
        <f t="shared" si="32"/>
        <v>0</v>
      </c>
      <c r="K43" s="20">
        <f t="shared" si="33"/>
        <v>0</v>
      </c>
      <c r="L43" s="20">
        <v>50</v>
      </c>
      <c r="M43" s="20">
        <v>0.16</v>
      </c>
      <c r="N43" s="20">
        <f t="shared" si="34"/>
        <v>212.7659574468085</v>
      </c>
      <c r="O43" s="19" t="s">
        <v>66</v>
      </c>
      <c r="P43" s="20" t="s">
        <v>57</v>
      </c>
      <c r="Q43" s="21">
        <v>240</v>
      </c>
      <c r="R43" s="19">
        <v>387</v>
      </c>
      <c r="S43" s="22">
        <v>0.16200000000000001</v>
      </c>
      <c r="T43" s="22">
        <v>8.7999999999999995E-2</v>
      </c>
      <c r="U43" s="19">
        <v>470</v>
      </c>
      <c r="V43" s="19">
        <v>0.89</v>
      </c>
      <c r="W43" s="19">
        <v>0.73</v>
      </c>
      <c r="X43" s="19" t="s">
        <v>142</v>
      </c>
      <c r="Y43" s="19">
        <v>0</v>
      </c>
      <c r="Z43" s="19">
        <v>0</v>
      </c>
      <c r="AA43" s="22">
        <v>0.64969999999999994</v>
      </c>
      <c r="AB43" s="20">
        <f t="shared" si="35"/>
        <v>251.43389999999997</v>
      </c>
      <c r="AC43" s="23">
        <f t="shared" si="45"/>
        <v>1</v>
      </c>
      <c r="AD43" s="20" t="str">
        <f t="shared" si="36"/>
        <v>YES</v>
      </c>
      <c r="AE43" s="22">
        <f t="shared" si="37"/>
        <v>23.593437164552846</v>
      </c>
      <c r="AF43" s="22">
        <f t="shared" si="38"/>
        <v>0.21448579240502585</v>
      </c>
      <c r="AG43" s="19" t="str">
        <f t="shared" si="39"/>
        <v>YES</v>
      </c>
      <c r="AH43" s="22" t="str">
        <f t="shared" si="40"/>
        <v>NA</v>
      </c>
      <c r="AI43" s="22" t="str">
        <f t="shared" si="41"/>
        <v>NA</v>
      </c>
      <c r="AJ43" s="22" t="str">
        <f t="shared" si="42"/>
        <v>NA</v>
      </c>
      <c r="AK43" s="22" t="str">
        <f t="shared" si="43"/>
        <v>1R X 11kV X 3C X 240 Sqmm</v>
      </c>
      <c r="AL43" s="23">
        <f t="shared" si="44"/>
        <v>470</v>
      </c>
      <c r="AM43" s="31"/>
      <c r="AN43" s="30">
        <f t="shared" si="11"/>
        <v>2</v>
      </c>
      <c r="AO43" s="20"/>
    </row>
    <row r="44" spans="1:41" ht="39.950000000000003" customHeight="1">
      <c r="A44" s="46">
        <v>8</v>
      </c>
      <c r="B44" s="45" t="s">
        <v>122</v>
      </c>
      <c r="C44" s="19" t="s">
        <v>81</v>
      </c>
      <c r="D44" s="19">
        <v>2500</v>
      </c>
      <c r="E44" s="48"/>
      <c r="F44" s="19">
        <v>11</v>
      </c>
      <c r="G44" s="20">
        <v>0.85</v>
      </c>
      <c r="H44" s="20">
        <v>0.92</v>
      </c>
      <c r="I44" s="20">
        <f t="shared" si="31"/>
        <v>131.21981944152844</v>
      </c>
      <c r="J44" s="20">
        <f t="shared" si="32"/>
        <v>0</v>
      </c>
      <c r="K44" s="20">
        <f t="shared" si="33"/>
        <v>0</v>
      </c>
      <c r="L44" s="20">
        <v>50</v>
      </c>
      <c r="M44" s="20">
        <v>0.16</v>
      </c>
      <c r="N44" s="20">
        <f t="shared" si="34"/>
        <v>212.7659574468085</v>
      </c>
      <c r="O44" s="19" t="s">
        <v>66</v>
      </c>
      <c r="P44" s="20" t="s">
        <v>57</v>
      </c>
      <c r="Q44" s="21">
        <v>240</v>
      </c>
      <c r="R44" s="19">
        <v>387</v>
      </c>
      <c r="S44" s="22">
        <v>0.16200000000000001</v>
      </c>
      <c r="T44" s="22">
        <v>8.7999999999999995E-2</v>
      </c>
      <c r="U44" s="19">
        <v>490</v>
      </c>
      <c r="V44" s="19">
        <v>0.89</v>
      </c>
      <c r="W44" s="19">
        <v>0.73</v>
      </c>
      <c r="X44" s="19" t="s">
        <v>142</v>
      </c>
      <c r="Y44" s="19">
        <v>0</v>
      </c>
      <c r="Z44" s="19">
        <v>0</v>
      </c>
      <c r="AA44" s="22">
        <v>0.64969999999999994</v>
      </c>
      <c r="AB44" s="20">
        <f t="shared" si="35"/>
        <v>251.43389999999997</v>
      </c>
      <c r="AC44" s="23">
        <f t="shared" si="45"/>
        <v>1</v>
      </c>
      <c r="AD44" s="20" t="str">
        <f t="shared" si="36"/>
        <v>YES</v>
      </c>
      <c r="AE44" s="22">
        <f t="shared" si="37"/>
        <v>20.49784434509024</v>
      </c>
      <c r="AF44" s="22">
        <f t="shared" si="38"/>
        <v>0.18634403950082035</v>
      </c>
      <c r="AG44" s="19" t="str">
        <f t="shared" si="39"/>
        <v>YES</v>
      </c>
      <c r="AH44" s="22" t="str">
        <f t="shared" si="40"/>
        <v>NA</v>
      </c>
      <c r="AI44" s="22" t="str">
        <f t="shared" si="41"/>
        <v>NA</v>
      </c>
      <c r="AJ44" s="22" t="str">
        <f t="shared" si="42"/>
        <v>NA</v>
      </c>
      <c r="AK44" s="22" t="str">
        <f t="shared" si="43"/>
        <v>1R X 11kV X 3C X 240 Sqmm</v>
      </c>
      <c r="AL44" s="23">
        <f t="shared" si="44"/>
        <v>490</v>
      </c>
      <c r="AM44" s="31"/>
      <c r="AN44" s="30">
        <f t="shared" si="11"/>
        <v>2</v>
      </c>
      <c r="AO44" s="20"/>
    </row>
    <row r="45" spans="1:41" ht="39.950000000000003" customHeight="1">
      <c r="A45" s="46">
        <v>9</v>
      </c>
      <c r="B45" s="45" t="s">
        <v>123</v>
      </c>
      <c r="C45" s="19" t="s">
        <v>81</v>
      </c>
      <c r="D45" s="19">
        <v>2500</v>
      </c>
      <c r="E45" s="48"/>
      <c r="F45" s="19">
        <v>11</v>
      </c>
      <c r="G45" s="20">
        <v>0.85</v>
      </c>
      <c r="H45" s="20">
        <v>0.92</v>
      </c>
      <c r="I45" s="20">
        <f t="shared" si="31"/>
        <v>131.21981944152844</v>
      </c>
      <c r="J45" s="20">
        <f t="shared" si="32"/>
        <v>0</v>
      </c>
      <c r="K45" s="20">
        <f t="shared" si="33"/>
        <v>0</v>
      </c>
      <c r="L45" s="20">
        <v>50</v>
      </c>
      <c r="M45" s="20">
        <v>0.16</v>
      </c>
      <c r="N45" s="20">
        <f t="shared" si="34"/>
        <v>212.7659574468085</v>
      </c>
      <c r="O45" s="19" t="s">
        <v>66</v>
      </c>
      <c r="P45" s="20" t="s">
        <v>57</v>
      </c>
      <c r="Q45" s="21">
        <v>240</v>
      </c>
      <c r="R45" s="19">
        <v>387</v>
      </c>
      <c r="S45" s="22">
        <v>0.16200000000000001</v>
      </c>
      <c r="T45" s="22">
        <v>8.7999999999999995E-2</v>
      </c>
      <c r="U45" s="19">
        <v>490</v>
      </c>
      <c r="V45" s="19">
        <v>0.89</v>
      </c>
      <c r="W45" s="19">
        <v>0.73</v>
      </c>
      <c r="X45" s="19" t="s">
        <v>142</v>
      </c>
      <c r="Y45" s="19">
        <v>0</v>
      </c>
      <c r="Z45" s="19">
        <v>0</v>
      </c>
      <c r="AA45" s="22">
        <v>0.64969999999999994</v>
      </c>
      <c r="AB45" s="20">
        <f t="shared" si="35"/>
        <v>251.43389999999997</v>
      </c>
      <c r="AC45" s="23">
        <f t="shared" si="45"/>
        <v>1</v>
      </c>
      <c r="AD45" s="20" t="str">
        <f t="shared" si="36"/>
        <v>YES</v>
      </c>
      <c r="AE45" s="22">
        <f t="shared" si="37"/>
        <v>20.49784434509024</v>
      </c>
      <c r="AF45" s="22">
        <f t="shared" si="38"/>
        <v>0.18634403950082035</v>
      </c>
      <c r="AG45" s="19" t="str">
        <f t="shared" si="39"/>
        <v>YES</v>
      </c>
      <c r="AH45" s="22" t="str">
        <f t="shared" si="40"/>
        <v>NA</v>
      </c>
      <c r="AI45" s="22" t="str">
        <f t="shared" si="41"/>
        <v>NA</v>
      </c>
      <c r="AJ45" s="22" t="str">
        <f t="shared" si="42"/>
        <v>NA</v>
      </c>
      <c r="AK45" s="22" t="str">
        <f t="shared" si="43"/>
        <v>1R X 11kV X 3C X 240 Sqmm</v>
      </c>
      <c r="AL45" s="23">
        <f t="shared" si="44"/>
        <v>490</v>
      </c>
      <c r="AM45" s="31"/>
      <c r="AN45" s="30">
        <f t="shared" si="11"/>
        <v>2</v>
      </c>
      <c r="AO45" s="20"/>
    </row>
    <row r="46" spans="1:41" ht="39.950000000000003" customHeight="1">
      <c r="A46" s="46">
        <v>10</v>
      </c>
      <c r="B46" s="45" t="s">
        <v>124</v>
      </c>
      <c r="C46" s="19" t="s">
        <v>81</v>
      </c>
      <c r="D46" s="19">
        <v>2500</v>
      </c>
      <c r="E46" s="48"/>
      <c r="F46" s="19">
        <v>11</v>
      </c>
      <c r="G46" s="20">
        <v>0.85</v>
      </c>
      <c r="H46" s="20">
        <v>0.92</v>
      </c>
      <c r="I46" s="20">
        <f t="shared" si="31"/>
        <v>131.21981944152844</v>
      </c>
      <c r="J46" s="20">
        <f t="shared" si="32"/>
        <v>0</v>
      </c>
      <c r="K46" s="20">
        <f t="shared" si="33"/>
        <v>0</v>
      </c>
      <c r="L46" s="20">
        <v>50</v>
      </c>
      <c r="M46" s="20">
        <v>0.16</v>
      </c>
      <c r="N46" s="20">
        <f t="shared" si="34"/>
        <v>212.7659574468085</v>
      </c>
      <c r="O46" s="19" t="s">
        <v>66</v>
      </c>
      <c r="P46" s="20" t="s">
        <v>57</v>
      </c>
      <c r="Q46" s="21">
        <v>240</v>
      </c>
      <c r="R46" s="19">
        <v>387</v>
      </c>
      <c r="S46" s="22">
        <v>0.16200000000000001</v>
      </c>
      <c r="T46" s="22">
        <v>8.7999999999999995E-2</v>
      </c>
      <c r="U46" s="19">
        <v>490</v>
      </c>
      <c r="V46" s="19">
        <v>0.89</v>
      </c>
      <c r="W46" s="19">
        <v>0.73</v>
      </c>
      <c r="X46" s="19" t="s">
        <v>142</v>
      </c>
      <c r="Y46" s="19">
        <v>0</v>
      </c>
      <c r="Z46" s="19">
        <v>0</v>
      </c>
      <c r="AA46" s="22">
        <v>0.64969999999999994</v>
      </c>
      <c r="AB46" s="20">
        <f t="shared" si="35"/>
        <v>251.43389999999997</v>
      </c>
      <c r="AC46" s="23">
        <f t="shared" si="45"/>
        <v>1</v>
      </c>
      <c r="AD46" s="20" t="str">
        <f t="shared" si="36"/>
        <v>YES</v>
      </c>
      <c r="AE46" s="22">
        <f t="shared" si="37"/>
        <v>20.49784434509024</v>
      </c>
      <c r="AF46" s="22">
        <f t="shared" si="38"/>
        <v>0.18634403950082035</v>
      </c>
      <c r="AG46" s="19" t="str">
        <f t="shared" si="39"/>
        <v>YES</v>
      </c>
      <c r="AH46" s="22" t="str">
        <f t="shared" si="40"/>
        <v>NA</v>
      </c>
      <c r="AI46" s="22" t="str">
        <f t="shared" si="41"/>
        <v>NA</v>
      </c>
      <c r="AJ46" s="22" t="str">
        <f t="shared" si="42"/>
        <v>NA</v>
      </c>
      <c r="AK46" s="22" t="str">
        <f t="shared" si="43"/>
        <v>1R X 11kV X 3C X 240 Sqmm</v>
      </c>
      <c r="AL46" s="23">
        <f t="shared" si="44"/>
        <v>490</v>
      </c>
      <c r="AM46" s="31"/>
      <c r="AN46" s="30">
        <f t="shared" si="11"/>
        <v>2</v>
      </c>
      <c r="AO46" s="20"/>
    </row>
    <row r="47" spans="1:41" ht="39.950000000000003" customHeight="1">
      <c r="A47" s="46">
        <v>11</v>
      </c>
      <c r="B47" s="45" t="s">
        <v>101</v>
      </c>
      <c r="C47" s="19" t="s">
        <v>81</v>
      </c>
      <c r="D47" s="19">
        <v>3000</v>
      </c>
      <c r="E47" s="48"/>
      <c r="F47" s="19">
        <v>11</v>
      </c>
      <c r="G47" s="20">
        <v>0.85</v>
      </c>
      <c r="H47" s="20">
        <v>0.92</v>
      </c>
      <c r="I47" s="20">
        <f t="shared" si="31"/>
        <v>157.46378332983414</v>
      </c>
      <c r="J47" s="20">
        <f t="shared" si="32"/>
        <v>0</v>
      </c>
      <c r="K47" s="20">
        <f t="shared" si="33"/>
        <v>0</v>
      </c>
      <c r="L47" s="20">
        <v>50</v>
      </c>
      <c r="M47" s="20">
        <v>0.16</v>
      </c>
      <c r="N47" s="20">
        <f t="shared" si="34"/>
        <v>212.7659574468085</v>
      </c>
      <c r="O47" s="19" t="s">
        <v>66</v>
      </c>
      <c r="P47" s="20" t="s">
        <v>57</v>
      </c>
      <c r="Q47" s="21">
        <v>240</v>
      </c>
      <c r="R47" s="19">
        <v>387</v>
      </c>
      <c r="S47" s="22">
        <v>0.16200000000000001</v>
      </c>
      <c r="T47" s="22">
        <v>8.7999999999999995E-2</v>
      </c>
      <c r="U47" s="19">
        <v>490</v>
      </c>
      <c r="V47" s="19">
        <v>0.89</v>
      </c>
      <c r="W47" s="19">
        <v>0.73</v>
      </c>
      <c r="X47" s="19" t="s">
        <v>142</v>
      </c>
      <c r="Y47" s="19">
        <v>0</v>
      </c>
      <c r="Z47" s="19">
        <v>0</v>
      </c>
      <c r="AA47" s="22">
        <v>0.64969999999999994</v>
      </c>
      <c r="AB47" s="20">
        <f t="shared" si="35"/>
        <v>251.43389999999997</v>
      </c>
      <c r="AC47" s="23">
        <f t="shared" si="45"/>
        <v>1</v>
      </c>
      <c r="AD47" s="20" t="str">
        <f t="shared" si="36"/>
        <v>YES</v>
      </c>
      <c r="AE47" s="22">
        <f t="shared" si="37"/>
        <v>24.59741321410829</v>
      </c>
      <c r="AF47" s="22">
        <f t="shared" si="38"/>
        <v>0.22361284740098444</v>
      </c>
      <c r="AG47" s="19" t="str">
        <f t="shared" si="39"/>
        <v>YES</v>
      </c>
      <c r="AH47" s="22" t="str">
        <f t="shared" si="40"/>
        <v>NA</v>
      </c>
      <c r="AI47" s="22" t="str">
        <f t="shared" si="41"/>
        <v>NA</v>
      </c>
      <c r="AJ47" s="22" t="str">
        <f t="shared" si="42"/>
        <v>NA</v>
      </c>
      <c r="AK47" s="22" t="str">
        <f t="shared" si="43"/>
        <v>1R X 11kV X 3C X 240 Sqmm</v>
      </c>
      <c r="AL47" s="23">
        <f t="shared" si="44"/>
        <v>490</v>
      </c>
      <c r="AM47" s="47"/>
      <c r="AN47" s="30">
        <f t="shared" si="11"/>
        <v>2</v>
      </c>
      <c r="AO47" s="20"/>
    </row>
    <row r="48" spans="1:41" ht="39.950000000000003" customHeight="1">
      <c r="A48" s="46">
        <v>12</v>
      </c>
      <c r="B48" s="45" t="s">
        <v>132</v>
      </c>
      <c r="C48" s="19" t="s">
        <v>81</v>
      </c>
      <c r="D48" s="19">
        <v>3000</v>
      </c>
      <c r="E48" s="48"/>
      <c r="F48" s="19">
        <v>11</v>
      </c>
      <c r="G48" s="20">
        <v>0.85</v>
      </c>
      <c r="H48" s="20">
        <v>0.92</v>
      </c>
      <c r="I48" s="20">
        <f t="shared" si="31"/>
        <v>157.46378332983414</v>
      </c>
      <c r="J48" s="20">
        <f t="shared" si="32"/>
        <v>0</v>
      </c>
      <c r="K48" s="20">
        <f t="shared" si="33"/>
        <v>0</v>
      </c>
      <c r="L48" s="20">
        <v>50</v>
      </c>
      <c r="M48" s="20">
        <v>0.16</v>
      </c>
      <c r="N48" s="20">
        <f t="shared" si="34"/>
        <v>212.7659574468085</v>
      </c>
      <c r="O48" s="19" t="s">
        <v>66</v>
      </c>
      <c r="P48" s="20" t="s">
        <v>57</v>
      </c>
      <c r="Q48" s="21">
        <v>240</v>
      </c>
      <c r="R48" s="19">
        <v>387</v>
      </c>
      <c r="S48" s="22">
        <v>0.16200000000000001</v>
      </c>
      <c r="T48" s="22">
        <v>8.7999999999999995E-2</v>
      </c>
      <c r="U48" s="19">
        <v>1100</v>
      </c>
      <c r="V48" s="19">
        <v>0.89</v>
      </c>
      <c r="W48" s="19">
        <v>0.73</v>
      </c>
      <c r="X48" s="19" t="s">
        <v>142</v>
      </c>
      <c r="Y48" s="19">
        <v>0</v>
      </c>
      <c r="Z48" s="19">
        <v>0</v>
      </c>
      <c r="AA48" s="22">
        <v>0.64969999999999994</v>
      </c>
      <c r="AB48" s="20">
        <f t="shared" si="35"/>
        <v>251.43389999999997</v>
      </c>
      <c r="AC48" s="23">
        <f t="shared" si="45"/>
        <v>1</v>
      </c>
      <c r="AD48" s="20" t="str">
        <f t="shared" si="36"/>
        <v>YES</v>
      </c>
      <c r="AE48" s="22">
        <f t="shared" si="37"/>
        <v>55.218682725549236</v>
      </c>
      <c r="AF48" s="22">
        <f t="shared" si="38"/>
        <v>0.50198802477772031</v>
      </c>
      <c r="AG48" s="19" t="str">
        <f t="shared" si="39"/>
        <v>YES</v>
      </c>
      <c r="AH48" s="22" t="str">
        <f t="shared" si="40"/>
        <v>NA</v>
      </c>
      <c r="AI48" s="22" t="str">
        <f t="shared" si="41"/>
        <v>NA</v>
      </c>
      <c r="AJ48" s="22" t="str">
        <f t="shared" si="42"/>
        <v>NA</v>
      </c>
      <c r="AK48" s="22" t="str">
        <f t="shared" si="43"/>
        <v>1R X 11kV X 3C X 240 Sqmm</v>
      </c>
      <c r="AL48" s="23">
        <f t="shared" si="44"/>
        <v>1100</v>
      </c>
      <c r="AM48" s="47"/>
      <c r="AN48" s="30">
        <f t="shared" si="11"/>
        <v>2</v>
      </c>
      <c r="AO48" s="20"/>
    </row>
    <row r="49" spans="1:41" ht="39.950000000000003" customHeight="1">
      <c r="A49" s="76">
        <v>13</v>
      </c>
      <c r="B49" s="77" t="s">
        <v>92</v>
      </c>
      <c r="C49" s="53" t="s">
        <v>81</v>
      </c>
      <c r="D49" s="53">
        <v>20000</v>
      </c>
      <c r="E49" s="78"/>
      <c r="F49" s="53">
        <v>11</v>
      </c>
      <c r="G49" s="54">
        <v>0.85</v>
      </c>
      <c r="H49" s="54">
        <v>0.92</v>
      </c>
      <c r="I49" s="54">
        <f t="shared" si="31"/>
        <v>1049.7585555322275</v>
      </c>
      <c r="J49" s="54">
        <f t="shared" si="32"/>
        <v>0</v>
      </c>
      <c r="K49" s="54">
        <f t="shared" si="33"/>
        <v>0</v>
      </c>
      <c r="L49" s="54">
        <v>50</v>
      </c>
      <c r="M49" s="54">
        <v>0.16</v>
      </c>
      <c r="N49" s="54">
        <f t="shared" si="34"/>
        <v>212.7659574468085</v>
      </c>
      <c r="O49" s="53" t="s">
        <v>66</v>
      </c>
      <c r="P49" s="54" t="s">
        <v>56</v>
      </c>
      <c r="Q49" s="55">
        <v>400</v>
      </c>
      <c r="R49" s="53">
        <v>575</v>
      </c>
      <c r="S49" s="56">
        <v>0.1018</v>
      </c>
      <c r="T49" s="56">
        <v>9.3700000000000006E-2</v>
      </c>
      <c r="U49" s="53">
        <v>120</v>
      </c>
      <c r="V49" s="53">
        <v>0.89</v>
      </c>
      <c r="W49" s="53">
        <v>0.78</v>
      </c>
      <c r="X49" s="53" t="s">
        <v>142</v>
      </c>
      <c r="Y49" s="53">
        <v>0</v>
      </c>
      <c r="Z49" s="53">
        <v>0</v>
      </c>
      <c r="AA49" s="56">
        <v>0.69420000000000004</v>
      </c>
      <c r="AB49" s="54">
        <f t="shared" si="35"/>
        <v>399.16500000000002</v>
      </c>
      <c r="AC49" s="57">
        <f t="shared" si="45"/>
        <v>3</v>
      </c>
      <c r="AD49" s="54" t="str">
        <f t="shared" si="36"/>
        <v>YES</v>
      </c>
      <c r="AE49" s="56">
        <f t="shared" si="37"/>
        <v>9.8831653891361064</v>
      </c>
      <c r="AF49" s="56">
        <f t="shared" si="38"/>
        <v>8.9846958083055511E-2</v>
      </c>
      <c r="AG49" s="53" t="str">
        <f t="shared" si="39"/>
        <v>YES</v>
      </c>
      <c r="AH49" s="56" t="str">
        <f t="shared" si="40"/>
        <v>NA</v>
      </c>
      <c r="AI49" s="56" t="str">
        <f t="shared" si="41"/>
        <v>NA</v>
      </c>
      <c r="AJ49" s="56" t="str">
        <f t="shared" si="42"/>
        <v>NA</v>
      </c>
      <c r="AK49" s="56" t="str">
        <f t="shared" si="43"/>
        <v>3R X 11kV X 1C X 400 Sqmm</v>
      </c>
      <c r="AL49" s="57">
        <f t="shared" si="44"/>
        <v>1080</v>
      </c>
      <c r="AM49" s="73"/>
      <c r="AN49" s="30">
        <f t="shared" si="11"/>
        <v>6</v>
      </c>
      <c r="AO49" s="20"/>
    </row>
    <row r="50" spans="1:41" ht="39.950000000000003" customHeight="1" thickBot="1">
      <c r="A50" s="46"/>
      <c r="B50" s="45"/>
      <c r="C50" s="19"/>
      <c r="D50" s="19"/>
      <c r="E50" s="48"/>
      <c r="F50" s="19"/>
      <c r="G50" s="20"/>
      <c r="H50" s="20"/>
      <c r="I50" s="20"/>
      <c r="J50" s="20"/>
      <c r="K50" s="20"/>
      <c r="L50" s="20"/>
      <c r="M50" s="20"/>
      <c r="N50" s="20"/>
      <c r="O50" s="19"/>
      <c r="P50" s="20"/>
      <c r="Q50" s="21"/>
      <c r="R50" s="19"/>
      <c r="S50" s="22"/>
      <c r="T50" s="22"/>
      <c r="U50" s="19"/>
      <c r="V50" s="19"/>
      <c r="W50" s="19"/>
      <c r="X50" s="19"/>
      <c r="Y50" s="19"/>
      <c r="Z50" s="19"/>
      <c r="AA50" s="22"/>
      <c r="AB50" s="20"/>
      <c r="AC50" s="23"/>
      <c r="AD50" s="20"/>
      <c r="AE50" s="22"/>
      <c r="AF50" s="22"/>
      <c r="AG50" s="19"/>
      <c r="AH50" s="22"/>
      <c r="AI50" s="22"/>
      <c r="AJ50" s="22"/>
      <c r="AK50" s="22"/>
      <c r="AL50" s="23"/>
      <c r="AM50" s="31"/>
      <c r="AN50" s="30"/>
      <c r="AO50" s="20"/>
    </row>
    <row r="51" spans="1:41" s="42" customFormat="1" ht="39.950000000000003" customHeight="1" thickBot="1">
      <c r="A51" s="89"/>
      <c r="B51" s="90" t="s">
        <v>154</v>
      </c>
      <c r="C51" s="83"/>
      <c r="D51" s="83"/>
      <c r="E51" s="83"/>
      <c r="F51" s="83"/>
      <c r="G51" s="84"/>
      <c r="H51" s="84"/>
      <c r="I51" s="84"/>
      <c r="J51" s="84"/>
      <c r="K51" s="84"/>
      <c r="L51" s="84"/>
      <c r="M51" s="84"/>
      <c r="N51" s="84"/>
      <c r="O51" s="83"/>
      <c r="P51" s="84"/>
      <c r="Q51" s="85"/>
      <c r="R51" s="83"/>
      <c r="S51" s="86"/>
      <c r="T51" s="83"/>
      <c r="U51" s="83"/>
      <c r="V51" s="83"/>
      <c r="W51" s="83"/>
      <c r="X51" s="83"/>
      <c r="Y51" s="83"/>
      <c r="Z51" s="83"/>
      <c r="AA51" s="86"/>
      <c r="AB51" s="84"/>
      <c r="AC51" s="87"/>
      <c r="AD51" s="84"/>
      <c r="AE51" s="86"/>
      <c r="AF51" s="86"/>
      <c r="AG51" s="83"/>
      <c r="AH51" s="86"/>
      <c r="AI51" s="86"/>
      <c r="AJ51" s="86"/>
      <c r="AK51" s="86"/>
      <c r="AL51" s="87"/>
      <c r="AM51" s="88"/>
      <c r="AN51" s="30">
        <f t="shared" si="11"/>
        <v>0</v>
      </c>
      <c r="AO51" s="40"/>
    </row>
    <row r="52" spans="1:41" ht="39.950000000000003" customHeight="1">
      <c r="A52" s="58">
        <v>1</v>
      </c>
      <c r="B52" s="59" t="s">
        <v>155</v>
      </c>
      <c r="C52" s="60" t="s">
        <v>47</v>
      </c>
      <c r="D52" s="60"/>
      <c r="E52" s="60">
        <v>2450</v>
      </c>
      <c r="F52" s="60">
        <v>11</v>
      </c>
      <c r="G52" s="20">
        <v>0.77</v>
      </c>
      <c r="H52" s="20">
        <v>0.94499999999999995</v>
      </c>
      <c r="I52" s="62">
        <f t="shared" ref="I52:I63" si="46">IF(D52="",(E52/(1.732*F52*G52*H52)),(D52/(1.732*F52)))</f>
        <v>176.72702955088008</v>
      </c>
      <c r="J52" s="62">
        <f t="shared" ref="J52:J63" si="47">IF(C52="M",7.2*I52,0)</f>
        <v>1272.4346127663366</v>
      </c>
      <c r="K52" s="62">
        <f t="shared" ref="K52:K63" si="48">IF(C52="M",0.2,0)</f>
        <v>0.2</v>
      </c>
      <c r="L52" s="62">
        <v>50</v>
      </c>
      <c r="M52" s="62">
        <v>0.16</v>
      </c>
      <c r="N52" s="62">
        <f t="shared" ref="N52:N63" si="49">(L52*1000*SQRT(M52)/94)</f>
        <v>212.7659574468085</v>
      </c>
      <c r="O52" s="60" t="s">
        <v>66</v>
      </c>
      <c r="P52" s="62" t="s">
        <v>57</v>
      </c>
      <c r="Q52" s="63">
        <v>240</v>
      </c>
      <c r="R52" s="60">
        <v>387</v>
      </c>
      <c r="S52" s="64">
        <v>0.16200000000000001</v>
      </c>
      <c r="T52" s="64">
        <v>8.7999999999999995E-2</v>
      </c>
      <c r="U52" s="60">
        <v>475</v>
      </c>
      <c r="V52" s="60">
        <v>0.89</v>
      </c>
      <c r="W52" s="60">
        <v>0.73</v>
      </c>
      <c r="X52" s="60" t="s">
        <v>142</v>
      </c>
      <c r="Y52" s="60">
        <v>0</v>
      </c>
      <c r="Z52" s="60">
        <v>0</v>
      </c>
      <c r="AA52" s="64">
        <v>0.64969999999999994</v>
      </c>
      <c r="AB52" s="62">
        <f t="shared" ref="AB52:AB63" si="50">R52*AA52</f>
        <v>251.43389999999997</v>
      </c>
      <c r="AC52" s="65">
        <f>ROUNDUP(((I52)/AB52),0)</f>
        <v>1</v>
      </c>
      <c r="AD52" s="62" t="str">
        <f t="shared" ref="AD52:AD63" si="51">IF(AB52*AC52&gt;=I52,"YES","NO")</f>
        <v>YES</v>
      </c>
      <c r="AE52" s="64">
        <f t="shared" ref="AE52:AE63" si="52">IF(C52="M",(SQRT(3)*I52*(U52/1000)*((S52/AC52)*G52+(T52/AC52)*SIN(ACOS(G52)))),(SQRT(3)*I52*(U52/1000)*((S52/AC52)*G52+(T52/AC52)*SIN(ACOS(G52)))))</f>
        <v>26.300659596401964</v>
      </c>
      <c r="AF52" s="64">
        <f t="shared" ref="AF52:AF63" si="53">(AE52/(F52*1000))*100</f>
        <v>0.23909690542183604</v>
      </c>
      <c r="AG52" s="60" t="str">
        <f t="shared" ref="AG52:AG63" si="54">IF(C52="I",IF(AF52&lt;=2,"YES","NO"),IF(AF52&lt;=3,"YES","NO"))</f>
        <v>YES</v>
      </c>
      <c r="AH52" s="64">
        <f t="shared" ref="AH52:AH63" si="55">IF(C52="M",(SQRT(3)*J52*(U52/1000)*((S52/AC52)*K52+(T52/AC52)*SIN(ACOS(K52)))),"NA")</f>
        <v>124.18098374098255</v>
      </c>
      <c r="AI52" s="64">
        <f t="shared" ref="AI52:AI63" si="56">IF(C52="M",(AH52/(F52*1000))*100,"NA")</f>
        <v>1.1289180340089322</v>
      </c>
      <c r="AJ52" s="64" t="str">
        <f t="shared" ref="AJ52:AJ63" si="57">IF(C52="M",IF(AI52&lt;=10,"YES","NO"),"NA")</f>
        <v>YES</v>
      </c>
      <c r="AK52" s="64" t="str">
        <f t="shared" ref="AK52:AK63" si="58">IF(C52="M",IF(AND(Q52&gt;=N52,AD52="YES",AG52="YES",AJ52="YES"),CONCATENATE(AC52,"R X ",F52,"kV X ",P52," X ",Q52," Sqmm"),"Cable size is not correct"),IF(AND(Q52&gt;=N52,AD52="YES",AG52="YES",AJ52="NA"),CONCATENATE(AC52,"R X ",F52,"kV X ",P52," X ",Q52," Sqmm"),"Cable size is not correct"))</f>
        <v>1R X 11kV X 3C X 240 Sqmm</v>
      </c>
      <c r="AL52" s="65">
        <f t="shared" ref="AL52:AL63" si="59">IF(P52="1C",3*U52*AC52,U52*AC52)</f>
        <v>475</v>
      </c>
      <c r="AM52" s="74"/>
      <c r="AN52" s="30">
        <f t="shared" si="11"/>
        <v>2</v>
      </c>
      <c r="AO52" s="20"/>
    </row>
    <row r="53" spans="1:41" ht="39.950000000000003" customHeight="1">
      <c r="A53" s="46">
        <v>2</v>
      </c>
      <c r="B53" s="45" t="s">
        <v>156</v>
      </c>
      <c r="C53" s="19" t="s">
        <v>47</v>
      </c>
      <c r="D53" s="19"/>
      <c r="E53" s="19">
        <v>3900</v>
      </c>
      <c r="F53" s="19">
        <v>11</v>
      </c>
      <c r="G53" s="20">
        <v>0.88</v>
      </c>
      <c r="H53" s="20">
        <v>0.95</v>
      </c>
      <c r="I53" s="20">
        <f t="shared" si="46"/>
        <v>244.85995015404831</v>
      </c>
      <c r="J53" s="20">
        <f t="shared" si="47"/>
        <v>1762.9916411091478</v>
      </c>
      <c r="K53" s="20">
        <f t="shared" si="48"/>
        <v>0.2</v>
      </c>
      <c r="L53" s="20">
        <v>50</v>
      </c>
      <c r="M53" s="20">
        <v>0.16</v>
      </c>
      <c r="N53" s="20">
        <f t="shared" si="49"/>
        <v>212.7659574468085</v>
      </c>
      <c r="O53" s="19" t="s">
        <v>66</v>
      </c>
      <c r="P53" s="20" t="s">
        <v>57</v>
      </c>
      <c r="Q53" s="21">
        <v>300</v>
      </c>
      <c r="R53" s="19">
        <v>441</v>
      </c>
      <c r="S53" s="22">
        <v>0.13</v>
      </c>
      <c r="T53" s="22">
        <v>8.5999999999999993E-2</v>
      </c>
      <c r="U53" s="19">
        <v>500</v>
      </c>
      <c r="V53" s="19">
        <v>0.89</v>
      </c>
      <c r="W53" s="19">
        <v>0.73</v>
      </c>
      <c r="X53" s="19" t="s">
        <v>142</v>
      </c>
      <c r="Y53" s="19">
        <v>0</v>
      </c>
      <c r="Z53" s="19">
        <v>0</v>
      </c>
      <c r="AA53" s="22">
        <v>0.64969999999999994</v>
      </c>
      <c r="AB53" s="20">
        <f t="shared" si="50"/>
        <v>286.51769999999999</v>
      </c>
      <c r="AC53" s="23">
        <f t="shared" ref="AC53:AC63" si="60">ROUNDUP(((I53)/AB53),0)</f>
        <v>1</v>
      </c>
      <c r="AD53" s="20" t="str">
        <f t="shared" si="51"/>
        <v>YES</v>
      </c>
      <c r="AE53" s="22">
        <f t="shared" si="52"/>
        <v>32.921049073634265</v>
      </c>
      <c r="AF53" s="22">
        <f t="shared" si="53"/>
        <v>0.29928226430576604</v>
      </c>
      <c r="AG53" s="19" t="str">
        <f t="shared" si="54"/>
        <v>YES</v>
      </c>
      <c r="AH53" s="22">
        <f t="shared" si="55"/>
        <v>168.34821340744261</v>
      </c>
      <c r="AI53" s="22">
        <f t="shared" si="56"/>
        <v>1.5304383037040239</v>
      </c>
      <c r="AJ53" s="22" t="str">
        <f t="shared" si="57"/>
        <v>YES</v>
      </c>
      <c r="AK53" s="22" t="str">
        <f t="shared" si="58"/>
        <v>1R X 11kV X 3C X 300 Sqmm</v>
      </c>
      <c r="AL53" s="23">
        <f t="shared" si="59"/>
        <v>500</v>
      </c>
      <c r="AM53" s="31"/>
      <c r="AN53" s="30">
        <f t="shared" si="11"/>
        <v>2</v>
      </c>
      <c r="AO53" s="20"/>
    </row>
    <row r="54" spans="1:41" s="122" customFormat="1" ht="39.950000000000003" customHeight="1">
      <c r="A54" s="113">
        <v>3</v>
      </c>
      <c r="B54" s="114" t="s">
        <v>133</v>
      </c>
      <c r="C54" s="115" t="s">
        <v>47</v>
      </c>
      <c r="D54" s="115"/>
      <c r="E54" s="115">
        <v>4325</v>
      </c>
      <c r="F54" s="115">
        <v>11</v>
      </c>
      <c r="G54" s="116">
        <v>0.77</v>
      </c>
      <c r="H54" s="116">
        <v>0.94499999999999995</v>
      </c>
      <c r="I54" s="116">
        <f t="shared" si="46"/>
        <v>311.97730726839035</v>
      </c>
      <c r="J54" s="116">
        <f t="shared" si="47"/>
        <v>2246.2366123324105</v>
      </c>
      <c r="K54" s="116">
        <f t="shared" si="48"/>
        <v>0.2</v>
      </c>
      <c r="L54" s="116">
        <v>50</v>
      </c>
      <c r="M54" s="116">
        <v>0.16</v>
      </c>
      <c r="N54" s="116">
        <f t="shared" si="49"/>
        <v>212.7659574468085</v>
      </c>
      <c r="O54" s="115" t="s">
        <v>66</v>
      </c>
      <c r="P54" s="116" t="s">
        <v>56</v>
      </c>
      <c r="Q54" s="117">
        <v>300</v>
      </c>
      <c r="R54" s="115">
        <v>387</v>
      </c>
      <c r="S54" s="118">
        <v>0.16200000000000001</v>
      </c>
      <c r="T54" s="118">
        <v>8.7999999999999995E-2</v>
      </c>
      <c r="U54" s="115">
        <v>750</v>
      </c>
      <c r="V54" s="115">
        <v>0.89</v>
      </c>
      <c r="W54" s="115">
        <v>0.73</v>
      </c>
      <c r="X54" s="115" t="s">
        <v>142</v>
      </c>
      <c r="Y54" s="115">
        <v>0</v>
      </c>
      <c r="Z54" s="115">
        <v>0</v>
      </c>
      <c r="AA54" s="118">
        <v>0.64969999999999994</v>
      </c>
      <c r="AB54" s="116">
        <f t="shared" si="50"/>
        <v>251.43389999999997</v>
      </c>
      <c r="AC54" s="119">
        <v>2</v>
      </c>
      <c r="AD54" s="116" t="str">
        <f t="shared" si="51"/>
        <v>YES</v>
      </c>
      <c r="AE54" s="118">
        <f t="shared" si="52"/>
        <v>36.654249007874924</v>
      </c>
      <c r="AF54" s="118">
        <f t="shared" si="53"/>
        <v>0.33322044552613567</v>
      </c>
      <c r="AG54" s="115" t="str">
        <f t="shared" si="54"/>
        <v>YES</v>
      </c>
      <c r="AH54" s="118">
        <f t="shared" si="55"/>
        <v>173.06640859712658</v>
      </c>
      <c r="AI54" s="118">
        <f t="shared" si="56"/>
        <v>1.5733309872466053</v>
      </c>
      <c r="AJ54" s="118" t="str">
        <f t="shared" si="57"/>
        <v>YES</v>
      </c>
      <c r="AK54" s="118" t="str">
        <f t="shared" si="58"/>
        <v>2R X 11kV X 1C X 300 Sqmm</v>
      </c>
      <c r="AL54" s="119">
        <f t="shared" si="59"/>
        <v>4500</v>
      </c>
      <c r="AM54" s="120"/>
      <c r="AN54" s="121">
        <f t="shared" si="11"/>
        <v>4</v>
      </c>
      <c r="AO54" s="116"/>
    </row>
    <row r="55" spans="1:41" ht="39.950000000000003" customHeight="1">
      <c r="A55" s="46">
        <v>4</v>
      </c>
      <c r="B55" s="45" t="s">
        <v>157</v>
      </c>
      <c r="C55" s="19" t="s">
        <v>47</v>
      </c>
      <c r="D55" s="19"/>
      <c r="E55" s="19">
        <v>11350</v>
      </c>
      <c r="F55" s="19">
        <v>11</v>
      </c>
      <c r="G55" s="20">
        <v>0.85</v>
      </c>
      <c r="H55" s="20">
        <v>0.97</v>
      </c>
      <c r="I55" s="20">
        <f t="shared" si="46"/>
        <v>722.54454853188508</v>
      </c>
      <c r="J55" s="20">
        <f t="shared" si="47"/>
        <v>5202.320749429573</v>
      </c>
      <c r="K55" s="20">
        <f t="shared" si="48"/>
        <v>0.2</v>
      </c>
      <c r="L55" s="20">
        <v>50</v>
      </c>
      <c r="M55" s="20">
        <v>0.16</v>
      </c>
      <c r="N55" s="20">
        <f t="shared" si="49"/>
        <v>212.7659574468085</v>
      </c>
      <c r="O55" s="19" t="s">
        <v>66</v>
      </c>
      <c r="P55" s="20" t="s">
        <v>56</v>
      </c>
      <c r="Q55" s="21">
        <v>400</v>
      </c>
      <c r="R55" s="19">
        <v>575</v>
      </c>
      <c r="S55" s="22">
        <v>0.1018</v>
      </c>
      <c r="T55" s="22">
        <v>9.3700000000000006E-2</v>
      </c>
      <c r="U55" s="19">
        <v>410</v>
      </c>
      <c r="V55" s="19">
        <v>0.89</v>
      </c>
      <c r="W55" s="19">
        <v>0.78</v>
      </c>
      <c r="X55" s="19" t="s">
        <v>142</v>
      </c>
      <c r="Y55" s="19">
        <v>0</v>
      </c>
      <c r="Z55" s="19">
        <v>0</v>
      </c>
      <c r="AA55" s="22">
        <v>0.69420000000000004</v>
      </c>
      <c r="AB55" s="20">
        <f t="shared" si="50"/>
        <v>399.16500000000002</v>
      </c>
      <c r="AC55" s="23">
        <f t="shared" si="60"/>
        <v>2</v>
      </c>
      <c r="AD55" s="20" t="str">
        <f t="shared" si="51"/>
        <v>YES</v>
      </c>
      <c r="AE55" s="22">
        <f t="shared" si="52"/>
        <v>34.863030729491264</v>
      </c>
      <c r="AF55" s="22">
        <f t="shared" si="53"/>
        <v>0.31693664299537511</v>
      </c>
      <c r="AG55" s="19" t="str">
        <f t="shared" si="54"/>
        <v>YES</v>
      </c>
      <c r="AH55" s="22">
        <f t="shared" si="55"/>
        <v>207.19355221381022</v>
      </c>
      <c r="AI55" s="22">
        <f t="shared" si="56"/>
        <v>1.8835777473982747</v>
      </c>
      <c r="AJ55" s="22" t="str">
        <f t="shared" si="57"/>
        <v>YES</v>
      </c>
      <c r="AK55" s="22" t="str">
        <f t="shared" si="58"/>
        <v>2R X 11kV X 1C X 400 Sqmm</v>
      </c>
      <c r="AL55" s="23">
        <f t="shared" si="59"/>
        <v>2460</v>
      </c>
      <c r="AM55" s="47"/>
      <c r="AN55" s="30">
        <f t="shared" si="11"/>
        <v>4</v>
      </c>
      <c r="AO55" s="20"/>
    </row>
    <row r="56" spans="1:41" ht="39.950000000000003" customHeight="1">
      <c r="A56" s="46">
        <v>5</v>
      </c>
      <c r="B56" s="45" t="s">
        <v>149</v>
      </c>
      <c r="C56" s="19" t="s">
        <v>81</v>
      </c>
      <c r="D56" s="19">
        <v>3000</v>
      </c>
      <c r="E56" s="19"/>
      <c r="F56" s="19">
        <v>11</v>
      </c>
      <c r="G56" s="20">
        <v>0.85</v>
      </c>
      <c r="H56" s="20">
        <v>0.92</v>
      </c>
      <c r="I56" s="20">
        <f t="shared" si="46"/>
        <v>157.46378332983414</v>
      </c>
      <c r="J56" s="20">
        <f t="shared" si="47"/>
        <v>0</v>
      </c>
      <c r="K56" s="20">
        <f t="shared" si="48"/>
        <v>0</v>
      </c>
      <c r="L56" s="20">
        <v>50</v>
      </c>
      <c r="M56" s="20">
        <v>0.16</v>
      </c>
      <c r="N56" s="20">
        <f t="shared" si="49"/>
        <v>212.7659574468085</v>
      </c>
      <c r="O56" s="19" t="s">
        <v>66</v>
      </c>
      <c r="P56" s="20" t="s">
        <v>57</v>
      </c>
      <c r="Q56" s="21">
        <v>240</v>
      </c>
      <c r="R56" s="19">
        <v>387</v>
      </c>
      <c r="S56" s="22">
        <v>0.16200000000000001</v>
      </c>
      <c r="T56" s="22">
        <v>8.7999999999999995E-2</v>
      </c>
      <c r="U56" s="19">
        <v>470</v>
      </c>
      <c r="V56" s="19">
        <v>0.89</v>
      </c>
      <c r="W56" s="19">
        <v>0.73</v>
      </c>
      <c r="X56" s="19" t="s">
        <v>142</v>
      </c>
      <c r="Y56" s="19">
        <v>0</v>
      </c>
      <c r="Z56" s="19">
        <v>0</v>
      </c>
      <c r="AA56" s="22">
        <v>0.64969999999999994</v>
      </c>
      <c r="AB56" s="20">
        <f t="shared" si="50"/>
        <v>251.43389999999997</v>
      </c>
      <c r="AC56" s="23">
        <f t="shared" si="60"/>
        <v>1</v>
      </c>
      <c r="AD56" s="20" t="str">
        <f t="shared" si="51"/>
        <v>YES</v>
      </c>
      <c r="AE56" s="22">
        <f t="shared" si="52"/>
        <v>23.593437164552846</v>
      </c>
      <c r="AF56" s="22">
        <f t="shared" si="53"/>
        <v>0.21448579240502585</v>
      </c>
      <c r="AG56" s="19" t="str">
        <f t="shared" si="54"/>
        <v>YES</v>
      </c>
      <c r="AH56" s="22" t="str">
        <f t="shared" si="55"/>
        <v>NA</v>
      </c>
      <c r="AI56" s="22" t="str">
        <f t="shared" si="56"/>
        <v>NA</v>
      </c>
      <c r="AJ56" s="22" t="str">
        <f t="shared" si="57"/>
        <v>NA</v>
      </c>
      <c r="AK56" s="22" t="str">
        <f t="shared" si="58"/>
        <v>1R X 11kV X 3C X 240 Sqmm</v>
      </c>
      <c r="AL56" s="23">
        <f t="shared" si="59"/>
        <v>470</v>
      </c>
      <c r="AM56" s="47"/>
      <c r="AN56" s="30"/>
      <c r="AO56" s="20"/>
    </row>
    <row r="57" spans="1:41" ht="39.950000000000003" customHeight="1">
      <c r="A57" s="46">
        <v>6</v>
      </c>
      <c r="B57" s="45" t="s">
        <v>97</v>
      </c>
      <c r="C57" s="19" t="s">
        <v>81</v>
      </c>
      <c r="D57" s="19">
        <v>2500</v>
      </c>
      <c r="E57" s="19"/>
      <c r="F57" s="19">
        <v>11</v>
      </c>
      <c r="G57" s="20">
        <v>0.85</v>
      </c>
      <c r="H57" s="20">
        <v>0.92</v>
      </c>
      <c r="I57" s="20">
        <f t="shared" si="46"/>
        <v>131.21981944152844</v>
      </c>
      <c r="J57" s="20">
        <f t="shared" si="47"/>
        <v>0</v>
      </c>
      <c r="K57" s="20">
        <f t="shared" si="48"/>
        <v>0</v>
      </c>
      <c r="L57" s="20">
        <v>50</v>
      </c>
      <c r="M57" s="20">
        <v>0.16</v>
      </c>
      <c r="N57" s="20">
        <f t="shared" si="49"/>
        <v>212.7659574468085</v>
      </c>
      <c r="O57" s="19" t="s">
        <v>66</v>
      </c>
      <c r="P57" s="20" t="s">
        <v>57</v>
      </c>
      <c r="Q57" s="21">
        <v>240</v>
      </c>
      <c r="R57" s="19">
        <v>387</v>
      </c>
      <c r="S57" s="22">
        <v>0.16200000000000001</v>
      </c>
      <c r="T57" s="22">
        <v>8.7999999999999995E-2</v>
      </c>
      <c r="U57" s="19">
        <v>470</v>
      </c>
      <c r="V57" s="19">
        <v>0.89</v>
      </c>
      <c r="W57" s="19">
        <v>0.73</v>
      </c>
      <c r="X57" s="19" t="s">
        <v>142</v>
      </c>
      <c r="Y57" s="19">
        <v>0</v>
      </c>
      <c r="Z57" s="19">
        <v>0</v>
      </c>
      <c r="AA57" s="22">
        <v>0.64969999999999994</v>
      </c>
      <c r="AB57" s="20">
        <f t="shared" si="50"/>
        <v>251.43389999999997</v>
      </c>
      <c r="AC57" s="23">
        <f t="shared" si="60"/>
        <v>1</v>
      </c>
      <c r="AD57" s="20" t="str">
        <f t="shared" si="51"/>
        <v>YES</v>
      </c>
      <c r="AE57" s="22">
        <f t="shared" si="52"/>
        <v>19.661197637127373</v>
      </c>
      <c r="AF57" s="22">
        <f t="shared" si="53"/>
        <v>0.17873816033752157</v>
      </c>
      <c r="AG57" s="19" t="str">
        <f t="shared" si="54"/>
        <v>YES</v>
      </c>
      <c r="AH57" s="22" t="str">
        <f t="shared" si="55"/>
        <v>NA</v>
      </c>
      <c r="AI57" s="22" t="str">
        <f t="shared" si="56"/>
        <v>NA</v>
      </c>
      <c r="AJ57" s="22" t="str">
        <f t="shared" si="57"/>
        <v>NA</v>
      </c>
      <c r="AK57" s="22" t="str">
        <f t="shared" si="58"/>
        <v>1R X 11kV X 3C X 240 Sqmm</v>
      </c>
      <c r="AL57" s="23">
        <f t="shared" si="59"/>
        <v>470</v>
      </c>
      <c r="AM57" s="47"/>
      <c r="AN57" s="30">
        <f t="shared" si="11"/>
        <v>2</v>
      </c>
      <c r="AO57" s="20"/>
    </row>
    <row r="58" spans="1:41" ht="39.950000000000003" customHeight="1">
      <c r="A58" s="46">
        <v>7</v>
      </c>
      <c r="B58" s="45" t="s">
        <v>98</v>
      </c>
      <c r="C58" s="19" t="s">
        <v>81</v>
      </c>
      <c r="D58" s="19">
        <v>3000</v>
      </c>
      <c r="E58" s="48"/>
      <c r="F58" s="19">
        <v>11</v>
      </c>
      <c r="G58" s="20">
        <v>0.85</v>
      </c>
      <c r="H58" s="20">
        <v>0.92</v>
      </c>
      <c r="I58" s="20">
        <f t="shared" si="46"/>
        <v>157.46378332983414</v>
      </c>
      <c r="J58" s="20">
        <f t="shared" si="47"/>
        <v>0</v>
      </c>
      <c r="K58" s="20">
        <f t="shared" si="48"/>
        <v>0</v>
      </c>
      <c r="L58" s="20">
        <v>50</v>
      </c>
      <c r="M58" s="20">
        <v>0.16</v>
      </c>
      <c r="N58" s="20">
        <f t="shared" si="49"/>
        <v>212.7659574468085</v>
      </c>
      <c r="O58" s="19" t="s">
        <v>66</v>
      </c>
      <c r="P58" s="20" t="s">
        <v>57</v>
      </c>
      <c r="Q58" s="21">
        <v>240</v>
      </c>
      <c r="R58" s="19">
        <v>387</v>
      </c>
      <c r="S58" s="22">
        <v>0.16200000000000001</v>
      </c>
      <c r="T58" s="22">
        <v>8.7999999999999995E-2</v>
      </c>
      <c r="U58" s="19">
        <v>490</v>
      </c>
      <c r="V58" s="19">
        <v>0.89</v>
      </c>
      <c r="W58" s="19">
        <v>0.73</v>
      </c>
      <c r="X58" s="19" t="s">
        <v>142</v>
      </c>
      <c r="Y58" s="19">
        <v>0</v>
      </c>
      <c r="Z58" s="19">
        <v>0</v>
      </c>
      <c r="AA58" s="22">
        <v>0.64969999999999994</v>
      </c>
      <c r="AB58" s="20">
        <f t="shared" si="50"/>
        <v>251.43389999999997</v>
      </c>
      <c r="AC58" s="23">
        <f t="shared" si="60"/>
        <v>1</v>
      </c>
      <c r="AD58" s="20" t="str">
        <f t="shared" si="51"/>
        <v>YES</v>
      </c>
      <c r="AE58" s="22">
        <f t="shared" si="52"/>
        <v>24.59741321410829</v>
      </c>
      <c r="AF58" s="22">
        <f t="shared" si="53"/>
        <v>0.22361284740098444</v>
      </c>
      <c r="AG58" s="19" t="str">
        <f t="shared" si="54"/>
        <v>YES</v>
      </c>
      <c r="AH58" s="22" t="str">
        <f t="shared" si="55"/>
        <v>NA</v>
      </c>
      <c r="AI58" s="22" t="str">
        <f t="shared" si="56"/>
        <v>NA</v>
      </c>
      <c r="AJ58" s="22" t="str">
        <f t="shared" si="57"/>
        <v>NA</v>
      </c>
      <c r="AK58" s="22" t="str">
        <f t="shared" si="58"/>
        <v>1R X 11kV X 3C X 240 Sqmm</v>
      </c>
      <c r="AL58" s="23">
        <f t="shared" si="59"/>
        <v>490</v>
      </c>
      <c r="AM58" s="47"/>
      <c r="AN58" s="30">
        <f t="shared" si="11"/>
        <v>2</v>
      </c>
      <c r="AO58" s="20"/>
    </row>
    <row r="59" spans="1:41" ht="39.950000000000003" customHeight="1">
      <c r="A59" s="46">
        <v>8</v>
      </c>
      <c r="B59" s="45" t="s">
        <v>127</v>
      </c>
      <c r="C59" s="19" t="s">
        <v>81</v>
      </c>
      <c r="D59" s="19">
        <v>2500</v>
      </c>
      <c r="E59" s="48"/>
      <c r="F59" s="19">
        <v>11</v>
      </c>
      <c r="G59" s="20">
        <v>0.85</v>
      </c>
      <c r="H59" s="20">
        <v>0.92</v>
      </c>
      <c r="I59" s="20">
        <f t="shared" si="46"/>
        <v>131.21981944152844</v>
      </c>
      <c r="J59" s="20">
        <f t="shared" si="47"/>
        <v>0</v>
      </c>
      <c r="K59" s="20">
        <f t="shared" si="48"/>
        <v>0</v>
      </c>
      <c r="L59" s="20">
        <v>50</v>
      </c>
      <c r="M59" s="20">
        <v>0.16</v>
      </c>
      <c r="N59" s="20">
        <f t="shared" si="49"/>
        <v>212.7659574468085</v>
      </c>
      <c r="O59" s="19" t="s">
        <v>66</v>
      </c>
      <c r="P59" s="20" t="s">
        <v>57</v>
      </c>
      <c r="Q59" s="21">
        <v>240</v>
      </c>
      <c r="R59" s="19">
        <v>387</v>
      </c>
      <c r="S59" s="22">
        <v>0.16200000000000001</v>
      </c>
      <c r="T59" s="22">
        <v>8.7999999999999995E-2</v>
      </c>
      <c r="U59" s="19">
        <v>490</v>
      </c>
      <c r="V59" s="19">
        <v>0.89</v>
      </c>
      <c r="W59" s="19">
        <v>0.73</v>
      </c>
      <c r="X59" s="19" t="s">
        <v>142</v>
      </c>
      <c r="Y59" s="19">
        <v>0</v>
      </c>
      <c r="Z59" s="19">
        <v>0</v>
      </c>
      <c r="AA59" s="22">
        <v>0.64969999999999994</v>
      </c>
      <c r="AB59" s="20">
        <f t="shared" si="50"/>
        <v>251.43389999999997</v>
      </c>
      <c r="AC59" s="23">
        <f t="shared" si="60"/>
        <v>1</v>
      </c>
      <c r="AD59" s="20" t="str">
        <f t="shared" si="51"/>
        <v>YES</v>
      </c>
      <c r="AE59" s="22">
        <f t="shared" si="52"/>
        <v>20.49784434509024</v>
      </c>
      <c r="AF59" s="22">
        <f t="shared" si="53"/>
        <v>0.18634403950082035</v>
      </c>
      <c r="AG59" s="19" t="str">
        <f t="shared" si="54"/>
        <v>YES</v>
      </c>
      <c r="AH59" s="22" t="str">
        <f t="shared" si="55"/>
        <v>NA</v>
      </c>
      <c r="AI59" s="22" t="str">
        <f t="shared" si="56"/>
        <v>NA</v>
      </c>
      <c r="AJ59" s="22" t="str">
        <f t="shared" si="57"/>
        <v>NA</v>
      </c>
      <c r="AK59" s="22" t="str">
        <f t="shared" si="58"/>
        <v>1R X 11kV X 3C X 240 Sqmm</v>
      </c>
      <c r="AL59" s="23">
        <f t="shared" si="59"/>
        <v>490</v>
      </c>
      <c r="AM59" s="31"/>
      <c r="AN59" s="30">
        <f t="shared" si="11"/>
        <v>2</v>
      </c>
      <c r="AO59" s="20"/>
    </row>
    <row r="60" spans="1:41" ht="39.950000000000003" customHeight="1">
      <c r="A60" s="46">
        <v>9</v>
      </c>
      <c r="B60" s="45" t="s">
        <v>128</v>
      </c>
      <c r="C60" s="19" t="s">
        <v>81</v>
      </c>
      <c r="D60" s="19">
        <v>2500</v>
      </c>
      <c r="E60" s="48"/>
      <c r="F60" s="19">
        <v>11</v>
      </c>
      <c r="G60" s="20">
        <v>0.85</v>
      </c>
      <c r="H60" s="20">
        <v>0.92</v>
      </c>
      <c r="I60" s="20">
        <f t="shared" si="46"/>
        <v>131.21981944152844</v>
      </c>
      <c r="J60" s="20">
        <f t="shared" si="47"/>
        <v>0</v>
      </c>
      <c r="K60" s="20">
        <f t="shared" si="48"/>
        <v>0</v>
      </c>
      <c r="L60" s="20">
        <v>50</v>
      </c>
      <c r="M60" s="20">
        <v>0.16</v>
      </c>
      <c r="N60" s="20">
        <f t="shared" si="49"/>
        <v>212.7659574468085</v>
      </c>
      <c r="O60" s="19" t="s">
        <v>66</v>
      </c>
      <c r="P60" s="20" t="s">
        <v>57</v>
      </c>
      <c r="Q60" s="21">
        <v>240</v>
      </c>
      <c r="R60" s="19">
        <v>387</v>
      </c>
      <c r="S60" s="22">
        <v>0.16200000000000001</v>
      </c>
      <c r="T60" s="22">
        <v>8.7999999999999995E-2</v>
      </c>
      <c r="U60" s="19">
        <v>490</v>
      </c>
      <c r="V60" s="19">
        <v>0.89</v>
      </c>
      <c r="W60" s="19">
        <v>0.73</v>
      </c>
      <c r="X60" s="19" t="s">
        <v>142</v>
      </c>
      <c r="Y60" s="19">
        <v>0</v>
      </c>
      <c r="Z60" s="19">
        <v>0</v>
      </c>
      <c r="AA60" s="22">
        <v>0.64969999999999994</v>
      </c>
      <c r="AB60" s="20">
        <f t="shared" si="50"/>
        <v>251.43389999999997</v>
      </c>
      <c r="AC60" s="23">
        <f t="shared" si="60"/>
        <v>1</v>
      </c>
      <c r="AD60" s="20" t="str">
        <f t="shared" si="51"/>
        <v>YES</v>
      </c>
      <c r="AE60" s="22">
        <f t="shared" si="52"/>
        <v>20.49784434509024</v>
      </c>
      <c r="AF60" s="22">
        <f t="shared" si="53"/>
        <v>0.18634403950082035</v>
      </c>
      <c r="AG60" s="19" t="str">
        <f t="shared" si="54"/>
        <v>YES</v>
      </c>
      <c r="AH60" s="22" t="str">
        <f t="shared" si="55"/>
        <v>NA</v>
      </c>
      <c r="AI60" s="22" t="str">
        <f t="shared" si="56"/>
        <v>NA</v>
      </c>
      <c r="AJ60" s="22" t="str">
        <f t="shared" si="57"/>
        <v>NA</v>
      </c>
      <c r="AK60" s="22" t="str">
        <f t="shared" si="58"/>
        <v>1R X 11kV X 3C X 240 Sqmm</v>
      </c>
      <c r="AL60" s="23">
        <f t="shared" si="59"/>
        <v>490</v>
      </c>
      <c r="AM60" s="31"/>
      <c r="AN60" s="30">
        <f t="shared" si="11"/>
        <v>2</v>
      </c>
      <c r="AO60" s="20"/>
    </row>
    <row r="61" spans="1:41" ht="39.950000000000003" customHeight="1">
      <c r="A61" s="46">
        <v>10</v>
      </c>
      <c r="B61" s="45" t="s">
        <v>129</v>
      </c>
      <c r="C61" s="19" t="s">
        <v>81</v>
      </c>
      <c r="D61" s="19">
        <v>2500</v>
      </c>
      <c r="E61" s="48"/>
      <c r="F61" s="19">
        <v>11</v>
      </c>
      <c r="G61" s="20">
        <v>0.85</v>
      </c>
      <c r="H61" s="20">
        <v>0.92</v>
      </c>
      <c r="I61" s="20">
        <f t="shared" si="46"/>
        <v>131.21981944152844</v>
      </c>
      <c r="J61" s="20">
        <f t="shared" si="47"/>
        <v>0</v>
      </c>
      <c r="K61" s="20">
        <f t="shared" si="48"/>
        <v>0</v>
      </c>
      <c r="L61" s="20">
        <v>50</v>
      </c>
      <c r="M61" s="20">
        <v>0.16</v>
      </c>
      <c r="N61" s="20">
        <f t="shared" si="49"/>
        <v>212.7659574468085</v>
      </c>
      <c r="O61" s="19" t="s">
        <v>66</v>
      </c>
      <c r="P61" s="20" t="s">
        <v>57</v>
      </c>
      <c r="Q61" s="21">
        <v>240</v>
      </c>
      <c r="R61" s="19">
        <v>387</v>
      </c>
      <c r="S61" s="22">
        <v>0.16200000000000001</v>
      </c>
      <c r="T61" s="22">
        <v>8.7999999999999995E-2</v>
      </c>
      <c r="U61" s="19">
        <v>490</v>
      </c>
      <c r="V61" s="19">
        <v>0.89</v>
      </c>
      <c r="W61" s="19">
        <v>0.73</v>
      </c>
      <c r="X61" s="19" t="s">
        <v>142</v>
      </c>
      <c r="Y61" s="19">
        <v>0</v>
      </c>
      <c r="Z61" s="19">
        <v>0</v>
      </c>
      <c r="AA61" s="22">
        <v>0.64969999999999994</v>
      </c>
      <c r="AB61" s="20">
        <f t="shared" si="50"/>
        <v>251.43389999999997</v>
      </c>
      <c r="AC61" s="23">
        <f t="shared" si="60"/>
        <v>1</v>
      </c>
      <c r="AD61" s="20" t="str">
        <f t="shared" si="51"/>
        <v>YES</v>
      </c>
      <c r="AE61" s="22">
        <f t="shared" si="52"/>
        <v>20.49784434509024</v>
      </c>
      <c r="AF61" s="22">
        <f t="shared" si="53"/>
        <v>0.18634403950082035</v>
      </c>
      <c r="AG61" s="19" t="str">
        <f t="shared" si="54"/>
        <v>YES</v>
      </c>
      <c r="AH61" s="22" t="str">
        <f t="shared" si="55"/>
        <v>NA</v>
      </c>
      <c r="AI61" s="22" t="str">
        <f t="shared" si="56"/>
        <v>NA</v>
      </c>
      <c r="AJ61" s="22" t="str">
        <f t="shared" si="57"/>
        <v>NA</v>
      </c>
      <c r="AK61" s="22" t="str">
        <f t="shared" si="58"/>
        <v>1R X 11kV X 3C X 240 Sqmm</v>
      </c>
      <c r="AL61" s="23">
        <f t="shared" si="59"/>
        <v>490</v>
      </c>
      <c r="AM61" s="31"/>
      <c r="AN61" s="30">
        <f t="shared" si="11"/>
        <v>2</v>
      </c>
      <c r="AO61" s="20"/>
    </row>
    <row r="62" spans="1:41" ht="39.950000000000003" customHeight="1">
      <c r="A62" s="46">
        <v>11</v>
      </c>
      <c r="B62" s="45" t="s">
        <v>134</v>
      </c>
      <c r="C62" s="19" t="s">
        <v>81</v>
      </c>
      <c r="D62" s="19">
        <v>3000</v>
      </c>
      <c r="E62" s="48"/>
      <c r="F62" s="19">
        <v>11</v>
      </c>
      <c r="G62" s="20">
        <v>0.85</v>
      </c>
      <c r="H62" s="20">
        <v>0.92</v>
      </c>
      <c r="I62" s="20">
        <f t="shared" si="46"/>
        <v>157.46378332983414</v>
      </c>
      <c r="J62" s="20">
        <f t="shared" si="47"/>
        <v>0</v>
      </c>
      <c r="K62" s="20">
        <f t="shared" si="48"/>
        <v>0</v>
      </c>
      <c r="L62" s="20">
        <v>50</v>
      </c>
      <c r="M62" s="20">
        <v>0.16</v>
      </c>
      <c r="N62" s="20">
        <f t="shared" si="49"/>
        <v>212.7659574468085</v>
      </c>
      <c r="O62" s="19" t="s">
        <v>66</v>
      </c>
      <c r="P62" s="20" t="s">
        <v>57</v>
      </c>
      <c r="Q62" s="21">
        <v>240</v>
      </c>
      <c r="R62" s="19">
        <v>387</v>
      </c>
      <c r="S62" s="22">
        <v>0.16200000000000001</v>
      </c>
      <c r="T62" s="22">
        <v>8.7999999999999995E-2</v>
      </c>
      <c r="U62" s="19">
        <v>1100</v>
      </c>
      <c r="V62" s="19">
        <v>0.89</v>
      </c>
      <c r="W62" s="19">
        <v>0.73</v>
      </c>
      <c r="X62" s="19" t="s">
        <v>142</v>
      </c>
      <c r="Y62" s="19">
        <v>0</v>
      </c>
      <c r="Z62" s="19">
        <v>0</v>
      </c>
      <c r="AA62" s="22">
        <v>0.64969999999999994</v>
      </c>
      <c r="AB62" s="20">
        <f t="shared" si="50"/>
        <v>251.43389999999997</v>
      </c>
      <c r="AC62" s="23">
        <f t="shared" si="60"/>
        <v>1</v>
      </c>
      <c r="AD62" s="20" t="str">
        <f t="shared" si="51"/>
        <v>YES</v>
      </c>
      <c r="AE62" s="22">
        <f t="shared" si="52"/>
        <v>55.218682725549236</v>
      </c>
      <c r="AF62" s="22">
        <f t="shared" si="53"/>
        <v>0.50198802477772031</v>
      </c>
      <c r="AG62" s="19" t="str">
        <f t="shared" si="54"/>
        <v>YES</v>
      </c>
      <c r="AH62" s="22" t="str">
        <f t="shared" si="55"/>
        <v>NA</v>
      </c>
      <c r="AI62" s="22" t="str">
        <f t="shared" si="56"/>
        <v>NA</v>
      </c>
      <c r="AJ62" s="22" t="str">
        <f t="shared" si="57"/>
        <v>NA</v>
      </c>
      <c r="AK62" s="22" t="str">
        <f t="shared" si="58"/>
        <v>1R X 11kV X 3C X 240 Sqmm</v>
      </c>
      <c r="AL62" s="23">
        <f t="shared" si="59"/>
        <v>1100</v>
      </c>
      <c r="AM62" s="31"/>
      <c r="AN62" s="30">
        <f t="shared" si="11"/>
        <v>2</v>
      </c>
      <c r="AO62" s="20"/>
    </row>
    <row r="63" spans="1:41" ht="39.950000000000003" customHeight="1">
      <c r="A63" s="46">
        <v>12</v>
      </c>
      <c r="B63" s="77" t="s">
        <v>92</v>
      </c>
      <c r="C63" s="53" t="s">
        <v>81</v>
      </c>
      <c r="D63" s="53">
        <v>20000</v>
      </c>
      <c r="E63" s="78"/>
      <c r="F63" s="53">
        <v>11</v>
      </c>
      <c r="G63" s="54">
        <v>0.85</v>
      </c>
      <c r="H63" s="54">
        <v>0.92</v>
      </c>
      <c r="I63" s="54">
        <f t="shared" si="46"/>
        <v>1049.7585555322275</v>
      </c>
      <c r="J63" s="54">
        <f t="shared" si="47"/>
        <v>0</v>
      </c>
      <c r="K63" s="54">
        <f t="shared" si="48"/>
        <v>0</v>
      </c>
      <c r="L63" s="54">
        <v>50</v>
      </c>
      <c r="M63" s="54">
        <v>0.16</v>
      </c>
      <c r="N63" s="54">
        <f t="shared" si="49"/>
        <v>212.7659574468085</v>
      </c>
      <c r="O63" s="53" t="s">
        <v>66</v>
      </c>
      <c r="P63" s="54" t="s">
        <v>56</v>
      </c>
      <c r="Q63" s="55">
        <v>400</v>
      </c>
      <c r="R63" s="53">
        <v>575</v>
      </c>
      <c r="S63" s="56">
        <v>0.1018</v>
      </c>
      <c r="T63" s="56">
        <v>9.3700000000000006E-2</v>
      </c>
      <c r="U63" s="53">
        <v>120</v>
      </c>
      <c r="V63" s="53">
        <v>0.89</v>
      </c>
      <c r="W63" s="53">
        <v>0.78</v>
      </c>
      <c r="X63" s="53" t="s">
        <v>142</v>
      </c>
      <c r="Y63" s="53">
        <v>0</v>
      </c>
      <c r="Z63" s="53">
        <v>0</v>
      </c>
      <c r="AA63" s="56">
        <v>0.69420000000000004</v>
      </c>
      <c r="AB63" s="54">
        <f t="shared" si="50"/>
        <v>399.16500000000002</v>
      </c>
      <c r="AC63" s="57">
        <f t="shared" si="60"/>
        <v>3</v>
      </c>
      <c r="AD63" s="54" t="str">
        <f t="shared" si="51"/>
        <v>YES</v>
      </c>
      <c r="AE63" s="56">
        <f t="shared" si="52"/>
        <v>9.8831653891361064</v>
      </c>
      <c r="AF63" s="56">
        <f t="shared" si="53"/>
        <v>8.9846958083055511E-2</v>
      </c>
      <c r="AG63" s="53" t="str">
        <f t="shared" si="54"/>
        <v>YES</v>
      </c>
      <c r="AH63" s="56" t="str">
        <f t="shared" si="55"/>
        <v>NA</v>
      </c>
      <c r="AI63" s="56" t="str">
        <f t="shared" si="56"/>
        <v>NA</v>
      </c>
      <c r="AJ63" s="56" t="str">
        <f t="shared" si="57"/>
        <v>NA</v>
      </c>
      <c r="AK63" s="56" t="str">
        <f t="shared" si="58"/>
        <v>3R X 11kV X 1C X 400 Sqmm</v>
      </c>
      <c r="AL63" s="57">
        <f t="shared" si="59"/>
        <v>1080</v>
      </c>
      <c r="AM63" s="79"/>
      <c r="AN63" s="30">
        <f t="shared" si="11"/>
        <v>6</v>
      </c>
      <c r="AO63" s="20"/>
    </row>
    <row r="64" spans="1:41" ht="39.950000000000003" customHeight="1" thickBot="1">
      <c r="A64" s="76"/>
      <c r="B64" s="77"/>
      <c r="C64" s="53"/>
      <c r="D64" s="53"/>
      <c r="E64" s="78"/>
      <c r="F64" s="53"/>
      <c r="G64" s="54"/>
      <c r="H64" s="54"/>
      <c r="I64" s="54"/>
      <c r="J64" s="54"/>
      <c r="K64" s="54"/>
      <c r="L64" s="54"/>
      <c r="M64" s="54"/>
      <c r="N64" s="54"/>
      <c r="O64" s="53"/>
      <c r="P64" s="54"/>
      <c r="Q64" s="55"/>
      <c r="R64" s="53"/>
      <c r="S64" s="56"/>
      <c r="T64" s="56"/>
      <c r="U64" s="53"/>
      <c r="V64" s="53"/>
      <c r="W64" s="53"/>
      <c r="X64" s="53"/>
      <c r="Y64" s="53"/>
      <c r="Z64" s="53"/>
      <c r="AA64" s="56"/>
      <c r="AB64" s="54"/>
      <c r="AC64" s="57"/>
      <c r="AD64" s="54"/>
      <c r="AE64" s="56"/>
      <c r="AF64" s="56"/>
      <c r="AG64" s="53"/>
      <c r="AH64" s="56"/>
      <c r="AI64" s="56"/>
      <c r="AJ64" s="56"/>
      <c r="AK64" s="56"/>
      <c r="AL64" s="57">
        <f>SUM(AL52:AL63)</f>
        <v>13015</v>
      </c>
      <c r="AM64" s="79"/>
      <c r="AN64" s="30"/>
      <c r="AO64" s="20"/>
    </row>
    <row r="65" spans="1:41" s="42" customFormat="1" ht="39.950000000000003" customHeight="1" thickBot="1">
      <c r="A65" s="81"/>
      <c r="B65" s="82" t="s">
        <v>158</v>
      </c>
      <c r="C65" s="83"/>
      <c r="D65" s="83"/>
      <c r="E65" s="83"/>
      <c r="F65" s="83"/>
      <c r="G65" s="84"/>
      <c r="H65" s="84"/>
      <c r="I65" s="84"/>
      <c r="J65" s="84"/>
      <c r="K65" s="84"/>
      <c r="L65" s="84"/>
      <c r="M65" s="84"/>
      <c r="N65" s="84"/>
      <c r="O65" s="83"/>
      <c r="P65" s="84"/>
      <c r="Q65" s="85"/>
      <c r="R65" s="83"/>
      <c r="S65" s="86"/>
      <c r="T65" s="86"/>
      <c r="U65" s="83"/>
      <c r="V65" s="83"/>
      <c r="W65" s="83"/>
      <c r="X65" s="83"/>
      <c r="Y65" s="83"/>
      <c r="Z65" s="83"/>
      <c r="AA65" s="86"/>
      <c r="AB65" s="84"/>
      <c r="AC65" s="87"/>
      <c r="AD65" s="84"/>
      <c r="AE65" s="86"/>
      <c r="AF65" s="86"/>
      <c r="AG65" s="83"/>
      <c r="AH65" s="86"/>
      <c r="AI65" s="86"/>
      <c r="AJ65" s="86"/>
      <c r="AK65" s="86"/>
      <c r="AL65" s="87"/>
      <c r="AM65" s="88"/>
      <c r="AN65" s="30">
        <f t="shared" si="11"/>
        <v>0</v>
      </c>
      <c r="AO65" s="40"/>
    </row>
    <row r="66" spans="1:41" s="122" customFormat="1" ht="39.950000000000003" customHeight="1">
      <c r="A66" s="132">
        <v>1</v>
      </c>
      <c r="B66" s="123" t="s">
        <v>103</v>
      </c>
      <c r="C66" s="133" t="s">
        <v>47</v>
      </c>
      <c r="D66" s="133"/>
      <c r="E66" s="133">
        <v>4325</v>
      </c>
      <c r="F66" s="133">
        <v>11</v>
      </c>
      <c r="G66" s="116">
        <v>0.77</v>
      </c>
      <c r="H66" s="116">
        <v>0.94499999999999995</v>
      </c>
      <c r="I66" s="134">
        <f t="shared" ref="I66:I67" si="61">IF(D66="",(E66/(1.732*F66*G66*H66)),(D66/(1.732*F66)))</f>
        <v>311.97730726839035</v>
      </c>
      <c r="J66" s="134">
        <f t="shared" ref="J66:J67" si="62">IF(C66="M",7.2*I66,0)</f>
        <v>2246.2366123324105</v>
      </c>
      <c r="K66" s="134">
        <f t="shared" ref="K66:K67" si="63">IF(C66="M",0.2,0)</f>
        <v>0.2</v>
      </c>
      <c r="L66" s="134">
        <v>50</v>
      </c>
      <c r="M66" s="134">
        <v>0.16</v>
      </c>
      <c r="N66" s="134">
        <f t="shared" ref="N66:N67" si="64">(L66*1000*SQRT(M66)/94)</f>
        <v>212.7659574468085</v>
      </c>
      <c r="O66" s="133" t="s">
        <v>66</v>
      </c>
      <c r="P66" s="134" t="s">
        <v>56</v>
      </c>
      <c r="Q66" s="135">
        <v>300</v>
      </c>
      <c r="R66" s="133">
        <v>387</v>
      </c>
      <c r="S66" s="136">
        <v>0.16200000000000001</v>
      </c>
      <c r="T66" s="136">
        <v>8.7999999999999995E-2</v>
      </c>
      <c r="U66" s="133">
        <v>750</v>
      </c>
      <c r="V66" s="133">
        <v>0.89</v>
      </c>
      <c r="W66" s="133">
        <v>0.73</v>
      </c>
      <c r="X66" s="133" t="s">
        <v>142</v>
      </c>
      <c r="Y66" s="133">
        <v>0</v>
      </c>
      <c r="Z66" s="133">
        <v>0</v>
      </c>
      <c r="AA66" s="136">
        <v>0.64969999999999994</v>
      </c>
      <c r="AB66" s="134">
        <f t="shared" ref="AB66:AB80" si="65">R66*AA66</f>
        <v>251.43389999999997</v>
      </c>
      <c r="AC66" s="137">
        <v>2</v>
      </c>
      <c r="AD66" s="134" t="str">
        <f t="shared" ref="AD66:AD80" si="66">IF(AB66*AC66&gt;=I66,"YES","NO")</f>
        <v>YES</v>
      </c>
      <c r="AE66" s="136">
        <f t="shared" ref="AE66:AE80" si="67">IF(C66="M",(SQRT(3)*I66*(U66/1000)*((S66/AC66)*G66+(T66/AC66)*SIN(ACOS(G66)))),(SQRT(3)*I66*(U66/1000)*((S66/AC66)*G66+(T66/AC66)*SIN(ACOS(G66)))))</f>
        <v>36.654249007874924</v>
      </c>
      <c r="AF66" s="136">
        <f t="shared" ref="AF66:AF80" si="68">(AE66/(F66*1000))*100</f>
        <v>0.33322044552613567</v>
      </c>
      <c r="AG66" s="133" t="str">
        <f t="shared" ref="AG66:AG80" si="69">IF(C66="I",IF(AF66&lt;=2,"YES","NO"),IF(AF66&lt;=3,"YES","NO"))</f>
        <v>YES</v>
      </c>
      <c r="AH66" s="136">
        <f t="shared" ref="AH66:AH80" si="70">IF(C66="M",(SQRT(3)*J66*(U66/1000)*((S66/AC66)*K66+(T66/AC66)*SIN(ACOS(K66)))),"NA")</f>
        <v>173.06640859712658</v>
      </c>
      <c r="AI66" s="136">
        <f t="shared" ref="AI66:AI80" si="71">IF(C66="M",(AH66/(F66*1000))*100,"NA")</f>
        <v>1.5733309872466053</v>
      </c>
      <c r="AJ66" s="136" t="str">
        <f t="shared" ref="AJ66:AJ80" si="72">IF(C66="M",IF(AI66&lt;=10,"YES","NO"),"NA")</f>
        <v>YES</v>
      </c>
      <c r="AK66" s="136" t="str">
        <f t="shared" ref="AK66:AK80" si="73">IF(C66="M",IF(AND(Q66&gt;=N66,AD66="YES",AG66="YES",AJ66="YES"),CONCATENATE(AC66,"R X ",F66,"kV X ",P66," X ",Q66," Sqmm"),"Cable size is not correct"),IF(AND(Q66&gt;=N66,AD66="YES",AG66="YES",AJ66="NA"),CONCATENATE(AC66,"R X ",F66,"kV X ",P66," X ",Q66," Sqmm"),"Cable size is not correct"))</f>
        <v>2R X 11kV X 1C X 300 Sqmm</v>
      </c>
      <c r="AL66" s="137">
        <f t="shared" ref="AL66:AL79" si="74">IF(P66="1C",3*U66*AC66,U66*AC66)</f>
        <v>4500</v>
      </c>
      <c r="AM66" s="138"/>
      <c r="AN66" s="121">
        <f t="shared" si="11"/>
        <v>4</v>
      </c>
      <c r="AO66" s="116"/>
    </row>
    <row r="67" spans="1:41" ht="39.950000000000003" customHeight="1">
      <c r="A67" s="46">
        <v>2</v>
      </c>
      <c r="B67" s="45" t="s">
        <v>100</v>
      </c>
      <c r="C67" s="19" t="s">
        <v>81</v>
      </c>
      <c r="D67" s="19">
        <v>630</v>
      </c>
      <c r="E67" s="19"/>
      <c r="F67" s="19">
        <v>11</v>
      </c>
      <c r="G67" s="20">
        <v>0.77</v>
      </c>
      <c r="H67" s="20">
        <v>0.94499999999999995</v>
      </c>
      <c r="I67" s="20">
        <f t="shared" si="61"/>
        <v>33.06739449926517</v>
      </c>
      <c r="J67" s="20">
        <f t="shared" si="62"/>
        <v>0</v>
      </c>
      <c r="K67" s="20">
        <f t="shared" si="63"/>
        <v>0</v>
      </c>
      <c r="L67" s="20">
        <v>50</v>
      </c>
      <c r="M67" s="20">
        <v>0.16</v>
      </c>
      <c r="N67" s="20">
        <f t="shared" si="64"/>
        <v>212.7659574468085</v>
      </c>
      <c r="O67" s="19" t="s">
        <v>66</v>
      </c>
      <c r="P67" s="20" t="s">
        <v>57</v>
      </c>
      <c r="Q67" s="21">
        <v>240</v>
      </c>
      <c r="R67" s="19">
        <v>387</v>
      </c>
      <c r="S67" s="22">
        <v>0.16200000000000001</v>
      </c>
      <c r="T67" s="22">
        <v>8.7999999999999995E-2</v>
      </c>
      <c r="U67" s="19">
        <v>150</v>
      </c>
      <c r="V67" s="19">
        <v>0.89</v>
      </c>
      <c r="W67" s="19">
        <v>0.73</v>
      </c>
      <c r="X67" s="19" t="s">
        <v>142</v>
      </c>
      <c r="Y67" s="19">
        <v>0</v>
      </c>
      <c r="Z67" s="19">
        <v>0</v>
      </c>
      <c r="AA67" s="22">
        <v>0.64969999999999994</v>
      </c>
      <c r="AB67" s="20">
        <f t="shared" si="65"/>
        <v>251.43389999999997</v>
      </c>
      <c r="AC67" s="23">
        <f t="shared" ref="AC67:AC80" si="75">ROUNDUP(((I67)/AB67),0)</f>
        <v>1</v>
      </c>
      <c r="AD67" s="20" t="str">
        <f t="shared" si="66"/>
        <v>YES</v>
      </c>
      <c r="AE67" s="22">
        <f t="shared" si="67"/>
        <v>1.5540367632892962</v>
      </c>
      <c r="AF67" s="22">
        <f t="shared" si="68"/>
        <v>1.4127606938993601E-2</v>
      </c>
      <c r="AG67" s="19" t="str">
        <f t="shared" si="69"/>
        <v>YES</v>
      </c>
      <c r="AH67" s="22" t="str">
        <f t="shared" si="70"/>
        <v>NA</v>
      </c>
      <c r="AI67" s="22" t="str">
        <f t="shared" si="71"/>
        <v>NA</v>
      </c>
      <c r="AJ67" s="22" t="str">
        <f t="shared" si="72"/>
        <v>NA</v>
      </c>
      <c r="AK67" s="22" t="str">
        <f t="shared" si="73"/>
        <v>1R X 11kV X 3C X 240 Sqmm</v>
      </c>
      <c r="AL67" s="23">
        <f t="shared" si="74"/>
        <v>150</v>
      </c>
      <c r="AM67" s="31"/>
      <c r="AN67" s="30">
        <f t="shared" si="11"/>
        <v>2</v>
      </c>
      <c r="AO67" s="20"/>
    </row>
    <row r="68" spans="1:41" ht="39.950000000000003" customHeight="1">
      <c r="A68" s="46">
        <v>3</v>
      </c>
      <c r="B68" s="45" t="s">
        <v>159</v>
      </c>
      <c r="C68" s="19" t="s">
        <v>81</v>
      </c>
      <c r="D68" s="19">
        <v>630</v>
      </c>
      <c r="E68" s="19"/>
      <c r="F68" s="19">
        <v>11</v>
      </c>
      <c r="G68" s="20">
        <v>0.77</v>
      </c>
      <c r="H68" s="20">
        <v>0.94499999999999995</v>
      </c>
      <c r="I68" s="20">
        <f t="shared" ref="I68:I80" si="76">IF(D68="",(E68/(1.732*F68*G68*H68)),(D68/(1.732*F68)))</f>
        <v>33.06739449926517</v>
      </c>
      <c r="J68" s="20">
        <f t="shared" ref="J68:J80" si="77">IF(C68="M",7.2*I68,0)</f>
        <v>0</v>
      </c>
      <c r="K68" s="20">
        <f t="shared" ref="K68:K80" si="78">IF(C68="M",0.2,0)</f>
        <v>0</v>
      </c>
      <c r="L68" s="20">
        <v>50</v>
      </c>
      <c r="M68" s="20">
        <v>0.16</v>
      </c>
      <c r="N68" s="20">
        <f t="shared" ref="N68:N80" si="79">(L68*1000*SQRT(M68)/94)</f>
        <v>212.7659574468085</v>
      </c>
      <c r="O68" s="19" t="s">
        <v>66</v>
      </c>
      <c r="P68" s="20" t="s">
        <v>57</v>
      </c>
      <c r="Q68" s="21">
        <v>240</v>
      </c>
      <c r="R68" s="19">
        <v>387</v>
      </c>
      <c r="S68" s="22">
        <v>0.16200000000000001</v>
      </c>
      <c r="T68" s="22">
        <v>8.7999999999999995E-2</v>
      </c>
      <c r="U68" s="19">
        <v>2000</v>
      </c>
      <c r="V68" s="19">
        <v>0.89</v>
      </c>
      <c r="W68" s="19">
        <v>0.73</v>
      </c>
      <c r="X68" s="19" t="s">
        <v>142</v>
      </c>
      <c r="Y68" s="19">
        <v>0</v>
      </c>
      <c r="Z68" s="19">
        <v>0</v>
      </c>
      <c r="AA68" s="22">
        <v>0.64969999999999994</v>
      </c>
      <c r="AB68" s="20">
        <f t="shared" si="65"/>
        <v>251.43389999999997</v>
      </c>
      <c r="AC68" s="23">
        <f t="shared" si="75"/>
        <v>1</v>
      </c>
      <c r="AD68" s="20" t="str">
        <f t="shared" si="66"/>
        <v>YES</v>
      </c>
      <c r="AE68" s="22">
        <f t="shared" si="67"/>
        <v>20.720490177190619</v>
      </c>
      <c r="AF68" s="22">
        <f t="shared" si="68"/>
        <v>0.18836809251991474</v>
      </c>
      <c r="AG68" s="19" t="str">
        <f t="shared" si="69"/>
        <v>YES</v>
      </c>
      <c r="AH68" s="22" t="str">
        <f t="shared" si="70"/>
        <v>NA</v>
      </c>
      <c r="AI68" s="22" t="str">
        <f t="shared" si="71"/>
        <v>NA</v>
      </c>
      <c r="AJ68" s="22" t="str">
        <f t="shared" si="72"/>
        <v>NA</v>
      </c>
      <c r="AK68" s="22" t="str">
        <f t="shared" si="73"/>
        <v>1R X 11kV X 3C X 240 Sqmm</v>
      </c>
      <c r="AL68" s="23">
        <f t="shared" si="74"/>
        <v>2000</v>
      </c>
      <c r="AM68" s="31"/>
      <c r="AN68" s="30">
        <f t="shared" si="11"/>
        <v>2</v>
      </c>
      <c r="AO68" s="20"/>
    </row>
    <row r="69" spans="1:41" ht="39.950000000000003" customHeight="1">
      <c r="A69" s="46">
        <v>4</v>
      </c>
      <c r="B69" s="45" t="s">
        <v>95</v>
      </c>
      <c r="C69" s="19" t="s">
        <v>81</v>
      </c>
      <c r="D69" s="19">
        <v>2500</v>
      </c>
      <c r="E69" s="19"/>
      <c r="F69" s="19">
        <v>11</v>
      </c>
      <c r="G69" s="20">
        <v>0.77</v>
      </c>
      <c r="H69" s="20">
        <v>0.94499999999999995</v>
      </c>
      <c r="I69" s="20">
        <f t="shared" si="76"/>
        <v>131.21981944152844</v>
      </c>
      <c r="J69" s="20">
        <f t="shared" si="77"/>
        <v>0</v>
      </c>
      <c r="K69" s="20">
        <f t="shared" si="78"/>
        <v>0</v>
      </c>
      <c r="L69" s="20">
        <v>50</v>
      </c>
      <c r="M69" s="20">
        <v>0.16</v>
      </c>
      <c r="N69" s="20">
        <f t="shared" si="79"/>
        <v>212.7659574468085</v>
      </c>
      <c r="O69" s="19" t="s">
        <v>66</v>
      </c>
      <c r="P69" s="20" t="s">
        <v>57</v>
      </c>
      <c r="Q69" s="21">
        <v>240</v>
      </c>
      <c r="R69" s="19">
        <v>387</v>
      </c>
      <c r="S69" s="22">
        <v>0.16200000000000001</v>
      </c>
      <c r="T69" s="22">
        <v>8.7999999999999995E-2</v>
      </c>
      <c r="U69" s="19">
        <v>150</v>
      </c>
      <c r="V69" s="19">
        <v>0.89</v>
      </c>
      <c r="W69" s="19">
        <v>0.73</v>
      </c>
      <c r="X69" s="19" t="s">
        <v>142</v>
      </c>
      <c r="Y69" s="19">
        <v>0</v>
      </c>
      <c r="Z69" s="19">
        <v>0</v>
      </c>
      <c r="AA69" s="22">
        <v>0.64969999999999994</v>
      </c>
      <c r="AB69" s="20">
        <f t="shared" si="65"/>
        <v>251.43389999999997</v>
      </c>
      <c r="AC69" s="23">
        <f t="shared" si="75"/>
        <v>1</v>
      </c>
      <c r="AD69" s="20" t="str">
        <f t="shared" si="66"/>
        <v>YES</v>
      </c>
      <c r="AE69" s="22">
        <f t="shared" si="67"/>
        <v>6.166812552735303</v>
      </c>
      <c r="AF69" s="22">
        <f t="shared" si="68"/>
        <v>5.606193229759366E-2</v>
      </c>
      <c r="AG69" s="19" t="str">
        <f t="shared" si="69"/>
        <v>YES</v>
      </c>
      <c r="AH69" s="22" t="str">
        <f t="shared" si="70"/>
        <v>NA</v>
      </c>
      <c r="AI69" s="22" t="str">
        <f t="shared" si="71"/>
        <v>NA</v>
      </c>
      <c r="AJ69" s="22" t="str">
        <f t="shared" si="72"/>
        <v>NA</v>
      </c>
      <c r="AK69" s="22" t="str">
        <f t="shared" si="73"/>
        <v>1R X 11kV X 3C X 240 Sqmm</v>
      </c>
      <c r="AL69" s="23">
        <f t="shared" si="74"/>
        <v>150</v>
      </c>
      <c r="AM69" s="31"/>
      <c r="AN69" s="30">
        <f t="shared" si="11"/>
        <v>2</v>
      </c>
      <c r="AO69" s="20"/>
    </row>
    <row r="70" spans="1:41" ht="39.950000000000003" customHeight="1">
      <c r="A70" s="46">
        <v>5</v>
      </c>
      <c r="B70" s="45" t="s">
        <v>96</v>
      </c>
      <c r="C70" s="19" t="s">
        <v>81</v>
      </c>
      <c r="D70" s="19">
        <v>750</v>
      </c>
      <c r="E70" s="19"/>
      <c r="F70" s="19">
        <v>11</v>
      </c>
      <c r="G70" s="20">
        <v>0.88</v>
      </c>
      <c r="H70" s="20">
        <v>0.95</v>
      </c>
      <c r="I70" s="20">
        <f t="shared" si="76"/>
        <v>39.365945832458536</v>
      </c>
      <c r="J70" s="20">
        <f t="shared" si="77"/>
        <v>0</v>
      </c>
      <c r="K70" s="20">
        <f t="shared" si="78"/>
        <v>0</v>
      </c>
      <c r="L70" s="20">
        <v>50</v>
      </c>
      <c r="M70" s="20">
        <v>0.16</v>
      </c>
      <c r="N70" s="20">
        <f t="shared" si="79"/>
        <v>212.7659574468085</v>
      </c>
      <c r="O70" s="19" t="s">
        <v>66</v>
      </c>
      <c r="P70" s="20" t="s">
        <v>57</v>
      </c>
      <c r="Q70" s="21">
        <v>240</v>
      </c>
      <c r="R70" s="19">
        <v>387</v>
      </c>
      <c r="S70" s="22">
        <v>0.16200000000000001</v>
      </c>
      <c r="T70" s="22">
        <v>8.7999999999999995E-2</v>
      </c>
      <c r="U70" s="19">
        <v>400</v>
      </c>
      <c r="V70" s="19">
        <v>0.89</v>
      </c>
      <c r="W70" s="19">
        <v>0.73</v>
      </c>
      <c r="X70" s="19" t="s">
        <v>142</v>
      </c>
      <c r="Y70" s="19">
        <v>0</v>
      </c>
      <c r="Z70" s="19">
        <v>0</v>
      </c>
      <c r="AA70" s="22">
        <v>0.64969999999999994</v>
      </c>
      <c r="AB70" s="20">
        <f t="shared" si="65"/>
        <v>251.43389999999997</v>
      </c>
      <c r="AC70" s="23">
        <f t="shared" si="75"/>
        <v>1</v>
      </c>
      <c r="AD70" s="20" t="str">
        <f t="shared" si="66"/>
        <v>YES</v>
      </c>
      <c r="AE70" s="22">
        <f t="shared" si="67"/>
        <v>5.0280843329926643</v>
      </c>
      <c r="AF70" s="22">
        <f t="shared" si="68"/>
        <v>4.5709857572660585E-2</v>
      </c>
      <c r="AG70" s="19" t="str">
        <f t="shared" si="69"/>
        <v>YES</v>
      </c>
      <c r="AH70" s="22" t="str">
        <f t="shared" si="70"/>
        <v>NA</v>
      </c>
      <c r="AI70" s="22" t="str">
        <f t="shared" si="71"/>
        <v>NA</v>
      </c>
      <c r="AJ70" s="22" t="str">
        <f t="shared" si="72"/>
        <v>NA</v>
      </c>
      <c r="AK70" s="22" t="str">
        <f t="shared" si="73"/>
        <v>1R X 11kV X 3C X 240 Sqmm</v>
      </c>
      <c r="AL70" s="23">
        <f t="shared" si="74"/>
        <v>400</v>
      </c>
      <c r="AM70" s="31"/>
      <c r="AN70" s="30">
        <f t="shared" si="11"/>
        <v>2</v>
      </c>
      <c r="AO70" s="20"/>
    </row>
    <row r="71" spans="1:41" ht="39.950000000000003" customHeight="1">
      <c r="A71" s="46">
        <v>6</v>
      </c>
      <c r="B71" s="45" t="s">
        <v>160</v>
      </c>
      <c r="C71" s="19" t="s">
        <v>81</v>
      </c>
      <c r="D71" s="19">
        <v>630</v>
      </c>
      <c r="E71" s="19"/>
      <c r="F71" s="19">
        <v>11</v>
      </c>
      <c r="G71" s="20">
        <v>0.88</v>
      </c>
      <c r="H71" s="20">
        <v>0.95</v>
      </c>
      <c r="I71" s="20">
        <f t="shared" si="76"/>
        <v>33.06739449926517</v>
      </c>
      <c r="J71" s="20">
        <f t="shared" si="77"/>
        <v>0</v>
      </c>
      <c r="K71" s="20">
        <f t="shared" si="78"/>
        <v>0</v>
      </c>
      <c r="L71" s="20">
        <v>50</v>
      </c>
      <c r="M71" s="20">
        <v>0.16</v>
      </c>
      <c r="N71" s="20">
        <f t="shared" si="79"/>
        <v>212.7659574468085</v>
      </c>
      <c r="O71" s="19" t="s">
        <v>66</v>
      </c>
      <c r="P71" s="20" t="s">
        <v>57</v>
      </c>
      <c r="Q71" s="21">
        <v>240</v>
      </c>
      <c r="R71" s="19">
        <v>387</v>
      </c>
      <c r="S71" s="22">
        <v>0.16200000000000001</v>
      </c>
      <c r="T71" s="22">
        <v>8.7999999999999995E-2</v>
      </c>
      <c r="U71" s="19">
        <v>200</v>
      </c>
      <c r="V71" s="19">
        <v>0.89</v>
      </c>
      <c r="W71" s="19">
        <v>0.73</v>
      </c>
      <c r="X71" s="19" t="s">
        <v>142</v>
      </c>
      <c r="Y71" s="19">
        <v>0</v>
      </c>
      <c r="Z71" s="19">
        <v>0</v>
      </c>
      <c r="AA71" s="22">
        <v>0.64969999999999994</v>
      </c>
      <c r="AB71" s="20">
        <f t="shared" si="65"/>
        <v>251.43389999999997</v>
      </c>
      <c r="AC71" s="23">
        <f t="shared" si="75"/>
        <v>1</v>
      </c>
      <c r="AD71" s="20" t="str">
        <f t="shared" si="66"/>
        <v>YES</v>
      </c>
      <c r="AE71" s="22">
        <f t="shared" si="67"/>
        <v>2.1117954198569189</v>
      </c>
      <c r="AF71" s="22">
        <f t="shared" si="68"/>
        <v>1.9198140180517444E-2</v>
      </c>
      <c r="AG71" s="19" t="str">
        <f t="shared" si="69"/>
        <v>YES</v>
      </c>
      <c r="AH71" s="22" t="str">
        <f t="shared" si="70"/>
        <v>NA</v>
      </c>
      <c r="AI71" s="22" t="str">
        <f t="shared" si="71"/>
        <v>NA</v>
      </c>
      <c r="AJ71" s="22" t="str">
        <f t="shared" si="72"/>
        <v>NA</v>
      </c>
      <c r="AK71" s="22" t="str">
        <f t="shared" si="73"/>
        <v>1R X 11kV X 3C X 240 Sqmm</v>
      </c>
      <c r="AL71" s="23">
        <f t="shared" si="74"/>
        <v>200</v>
      </c>
      <c r="AM71" s="31"/>
      <c r="AN71" s="30">
        <f t="shared" si="11"/>
        <v>2</v>
      </c>
      <c r="AO71" s="20"/>
    </row>
    <row r="72" spans="1:41" ht="39.950000000000003" customHeight="1">
      <c r="A72" s="46">
        <v>7</v>
      </c>
      <c r="B72" s="45" t="s">
        <v>161</v>
      </c>
      <c r="C72" s="19" t="s">
        <v>81</v>
      </c>
      <c r="D72" s="19">
        <v>750</v>
      </c>
      <c r="E72" s="19"/>
      <c r="F72" s="19">
        <v>11</v>
      </c>
      <c r="G72" s="20">
        <v>0.83</v>
      </c>
      <c r="H72" s="20">
        <v>0.93</v>
      </c>
      <c r="I72" s="20">
        <f t="shared" si="76"/>
        <v>39.365945832458536</v>
      </c>
      <c r="J72" s="20">
        <f t="shared" si="77"/>
        <v>0</v>
      </c>
      <c r="K72" s="20">
        <f t="shared" si="78"/>
        <v>0</v>
      </c>
      <c r="L72" s="20">
        <v>50</v>
      </c>
      <c r="M72" s="20">
        <v>0.16</v>
      </c>
      <c r="N72" s="20">
        <f t="shared" si="79"/>
        <v>212.7659574468085</v>
      </c>
      <c r="O72" s="19" t="s">
        <v>66</v>
      </c>
      <c r="P72" s="20" t="s">
        <v>57</v>
      </c>
      <c r="Q72" s="21">
        <v>240</v>
      </c>
      <c r="R72" s="19">
        <v>387</v>
      </c>
      <c r="S72" s="22">
        <v>0.16200000000000001</v>
      </c>
      <c r="T72" s="22">
        <v>8.7999999999999995E-2</v>
      </c>
      <c r="U72" s="19">
        <v>250</v>
      </c>
      <c r="V72" s="19">
        <v>0.89</v>
      </c>
      <c r="W72" s="19">
        <v>0.73</v>
      </c>
      <c r="X72" s="19" t="s">
        <v>142</v>
      </c>
      <c r="Y72" s="19">
        <v>0</v>
      </c>
      <c r="Z72" s="19">
        <v>0</v>
      </c>
      <c r="AA72" s="22">
        <v>0.64969999999999994</v>
      </c>
      <c r="AB72" s="20">
        <f t="shared" si="65"/>
        <v>251.43389999999997</v>
      </c>
      <c r="AC72" s="23">
        <f t="shared" si="75"/>
        <v>1</v>
      </c>
      <c r="AD72" s="20" t="str">
        <f t="shared" si="66"/>
        <v>YES</v>
      </c>
      <c r="AE72" s="22">
        <f t="shared" si="67"/>
        <v>3.1286686798522165</v>
      </c>
      <c r="AF72" s="22">
        <f t="shared" si="68"/>
        <v>2.844244254411106E-2</v>
      </c>
      <c r="AG72" s="19" t="str">
        <f t="shared" si="69"/>
        <v>YES</v>
      </c>
      <c r="AH72" s="22" t="str">
        <f t="shared" si="70"/>
        <v>NA</v>
      </c>
      <c r="AI72" s="22" t="str">
        <f t="shared" si="71"/>
        <v>NA</v>
      </c>
      <c r="AJ72" s="22" t="str">
        <f t="shared" si="72"/>
        <v>NA</v>
      </c>
      <c r="AK72" s="22" t="str">
        <f t="shared" si="73"/>
        <v>1R X 11kV X 3C X 240 Sqmm</v>
      </c>
      <c r="AL72" s="23">
        <f t="shared" si="74"/>
        <v>250</v>
      </c>
      <c r="AM72" s="31"/>
      <c r="AN72" s="30">
        <f t="shared" si="11"/>
        <v>2</v>
      </c>
      <c r="AO72" s="20"/>
    </row>
    <row r="73" spans="1:41" ht="39.950000000000003" customHeight="1">
      <c r="A73" s="46">
        <v>8</v>
      </c>
      <c r="B73" s="45" t="s">
        <v>162</v>
      </c>
      <c r="C73" s="19" t="s">
        <v>81</v>
      </c>
      <c r="D73" s="19">
        <v>2000</v>
      </c>
      <c r="E73" s="19"/>
      <c r="F73" s="19">
        <v>11</v>
      </c>
      <c r="G73" s="20">
        <v>0.75</v>
      </c>
      <c r="H73" s="20">
        <v>0.97</v>
      </c>
      <c r="I73" s="20">
        <f t="shared" si="76"/>
        <v>104.97585555322276</v>
      </c>
      <c r="J73" s="20">
        <f t="shared" si="77"/>
        <v>0</v>
      </c>
      <c r="K73" s="20">
        <f t="shared" si="78"/>
        <v>0</v>
      </c>
      <c r="L73" s="20">
        <v>50</v>
      </c>
      <c r="M73" s="20">
        <v>0.16</v>
      </c>
      <c r="N73" s="20">
        <f t="shared" si="79"/>
        <v>212.7659574468085</v>
      </c>
      <c r="O73" s="19" t="s">
        <v>66</v>
      </c>
      <c r="P73" s="20" t="s">
        <v>57</v>
      </c>
      <c r="Q73" s="21">
        <v>240</v>
      </c>
      <c r="R73" s="19">
        <v>387</v>
      </c>
      <c r="S73" s="22">
        <v>0.16200000000000001</v>
      </c>
      <c r="T73" s="22">
        <v>8.7999999999999995E-2</v>
      </c>
      <c r="U73" s="19">
        <v>535</v>
      </c>
      <c r="V73" s="19">
        <v>0.89</v>
      </c>
      <c r="W73" s="19">
        <v>0.73</v>
      </c>
      <c r="X73" s="19" t="s">
        <v>142</v>
      </c>
      <c r="Y73" s="19">
        <v>0</v>
      </c>
      <c r="Z73" s="19">
        <v>0</v>
      </c>
      <c r="AA73" s="22">
        <v>0.64969999999999994</v>
      </c>
      <c r="AB73" s="20">
        <f t="shared" si="65"/>
        <v>251.43389999999997</v>
      </c>
      <c r="AC73" s="23">
        <f t="shared" si="75"/>
        <v>1</v>
      </c>
      <c r="AD73" s="20" t="str">
        <f t="shared" si="66"/>
        <v>YES</v>
      </c>
      <c r="AE73" s="22">
        <f t="shared" si="67"/>
        <v>17.481056954506208</v>
      </c>
      <c r="AF73" s="22">
        <f t="shared" si="68"/>
        <v>0.15891869958642008</v>
      </c>
      <c r="AG73" s="19" t="str">
        <f t="shared" si="69"/>
        <v>YES</v>
      </c>
      <c r="AH73" s="22" t="str">
        <f t="shared" si="70"/>
        <v>NA</v>
      </c>
      <c r="AI73" s="22" t="str">
        <f t="shared" si="71"/>
        <v>NA</v>
      </c>
      <c r="AJ73" s="22" t="str">
        <f t="shared" si="72"/>
        <v>NA</v>
      </c>
      <c r="AK73" s="22" t="str">
        <f t="shared" si="73"/>
        <v>1R X 11kV X 3C X 240 Sqmm</v>
      </c>
      <c r="AL73" s="23">
        <f t="shared" si="74"/>
        <v>535</v>
      </c>
      <c r="AM73" s="31"/>
      <c r="AN73" s="30">
        <f t="shared" si="11"/>
        <v>2</v>
      </c>
      <c r="AO73" s="20"/>
    </row>
    <row r="74" spans="1:41" ht="39.950000000000003" customHeight="1">
      <c r="A74" s="46">
        <v>9</v>
      </c>
      <c r="B74" s="45" t="s">
        <v>163</v>
      </c>
      <c r="C74" s="19" t="s">
        <v>81</v>
      </c>
      <c r="D74" s="19">
        <v>2000</v>
      </c>
      <c r="E74" s="19"/>
      <c r="F74" s="19">
        <v>11</v>
      </c>
      <c r="G74" s="20">
        <v>0.85</v>
      </c>
      <c r="H74" s="20">
        <v>0.92</v>
      </c>
      <c r="I74" s="20">
        <f t="shared" si="76"/>
        <v>104.97585555322276</v>
      </c>
      <c r="J74" s="20">
        <f t="shared" si="77"/>
        <v>0</v>
      </c>
      <c r="K74" s="20">
        <f t="shared" si="78"/>
        <v>0</v>
      </c>
      <c r="L74" s="20">
        <v>50</v>
      </c>
      <c r="M74" s="20">
        <v>0.16</v>
      </c>
      <c r="N74" s="20">
        <f t="shared" si="79"/>
        <v>212.7659574468085</v>
      </c>
      <c r="O74" s="19" t="s">
        <v>66</v>
      </c>
      <c r="P74" s="20" t="s">
        <v>57</v>
      </c>
      <c r="Q74" s="21">
        <v>240</v>
      </c>
      <c r="R74" s="19">
        <v>387</v>
      </c>
      <c r="S74" s="22">
        <v>0.16200000000000001</v>
      </c>
      <c r="T74" s="22">
        <v>8.7999999999999995E-2</v>
      </c>
      <c r="U74" s="19">
        <v>1000</v>
      </c>
      <c r="V74" s="19">
        <v>0.89</v>
      </c>
      <c r="W74" s="19">
        <v>0.73</v>
      </c>
      <c r="X74" s="19" t="s">
        <v>142</v>
      </c>
      <c r="Y74" s="19">
        <v>0</v>
      </c>
      <c r="Z74" s="19">
        <v>0</v>
      </c>
      <c r="AA74" s="22">
        <v>0.64969999999999994</v>
      </c>
      <c r="AB74" s="20">
        <f t="shared" si="65"/>
        <v>251.43389999999997</v>
      </c>
      <c r="AC74" s="23">
        <f t="shared" si="75"/>
        <v>1</v>
      </c>
      <c r="AD74" s="20" t="str">
        <f t="shared" si="66"/>
        <v>YES</v>
      </c>
      <c r="AE74" s="22">
        <f t="shared" si="67"/>
        <v>33.46586831851468</v>
      </c>
      <c r="AF74" s="22">
        <f t="shared" si="68"/>
        <v>0.30423516653195165</v>
      </c>
      <c r="AG74" s="19" t="str">
        <f t="shared" si="69"/>
        <v>YES</v>
      </c>
      <c r="AH74" s="22" t="str">
        <f t="shared" si="70"/>
        <v>NA</v>
      </c>
      <c r="AI74" s="22" t="str">
        <f t="shared" si="71"/>
        <v>NA</v>
      </c>
      <c r="AJ74" s="22" t="str">
        <f t="shared" si="72"/>
        <v>NA</v>
      </c>
      <c r="AK74" s="22" t="str">
        <f t="shared" si="73"/>
        <v>1R X 11kV X 3C X 240 Sqmm</v>
      </c>
      <c r="AL74" s="23">
        <f t="shared" si="74"/>
        <v>1000</v>
      </c>
      <c r="AM74" s="31"/>
      <c r="AN74" s="30">
        <f t="shared" si="11"/>
        <v>2</v>
      </c>
      <c r="AO74" s="20"/>
    </row>
    <row r="75" spans="1:41" ht="39.950000000000003" customHeight="1">
      <c r="A75" s="46">
        <v>10</v>
      </c>
      <c r="B75" s="45" t="s">
        <v>164</v>
      </c>
      <c r="C75" s="19" t="s">
        <v>81</v>
      </c>
      <c r="D75" s="19">
        <v>1000</v>
      </c>
      <c r="E75" s="19"/>
      <c r="F75" s="19">
        <v>11</v>
      </c>
      <c r="G75" s="20">
        <v>0.88</v>
      </c>
      <c r="H75" s="20">
        <v>0.95</v>
      </c>
      <c r="I75" s="20">
        <f t="shared" si="76"/>
        <v>52.487927776611379</v>
      </c>
      <c r="J75" s="20">
        <f t="shared" si="77"/>
        <v>0</v>
      </c>
      <c r="K75" s="20">
        <f t="shared" si="78"/>
        <v>0</v>
      </c>
      <c r="L75" s="20">
        <v>50</v>
      </c>
      <c r="M75" s="20">
        <v>0.16</v>
      </c>
      <c r="N75" s="20">
        <f t="shared" si="79"/>
        <v>212.7659574468085</v>
      </c>
      <c r="O75" s="19" t="s">
        <v>66</v>
      </c>
      <c r="P75" s="20" t="s">
        <v>57</v>
      </c>
      <c r="Q75" s="21">
        <v>240</v>
      </c>
      <c r="R75" s="19">
        <v>575</v>
      </c>
      <c r="S75" s="22">
        <v>0.1018</v>
      </c>
      <c r="T75" s="22">
        <v>9.3700000000000006E-2</v>
      </c>
      <c r="U75" s="19">
        <v>650</v>
      </c>
      <c r="V75" s="19">
        <v>0.89</v>
      </c>
      <c r="W75" s="19">
        <v>0.78</v>
      </c>
      <c r="X75" s="19" t="s">
        <v>142</v>
      </c>
      <c r="Y75" s="19">
        <v>0</v>
      </c>
      <c r="Z75" s="19">
        <v>0</v>
      </c>
      <c r="AA75" s="22">
        <v>0.69420000000000004</v>
      </c>
      <c r="AB75" s="20">
        <f t="shared" si="65"/>
        <v>399.16500000000002</v>
      </c>
      <c r="AC75" s="23">
        <f t="shared" si="75"/>
        <v>1</v>
      </c>
      <c r="AD75" s="20" t="str">
        <f t="shared" si="66"/>
        <v>YES</v>
      </c>
      <c r="AE75" s="22">
        <f t="shared" si="67"/>
        <v>7.9236753578051502</v>
      </c>
      <c r="AF75" s="22">
        <f t="shared" si="68"/>
        <v>7.2033412343683184E-2</v>
      </c>
      <c r="AG75" s="19" t="str">
        <f t="shared" si="69"/>
        <v>YES</v>
      </c>
      <c r="AH75" s="22" t="str">
        <f t="shared" si="70"/>
        <v>NA</v>
      </c>
      <c r="AI75" s="22" t="str">
        <f t="shared" si="71"/>
        <v>NA</v>
      </c>
      <c r="AJ75" s="22" t="str">
        <f t="shared" si="72"/>
        <v>NA</v>
      </c>
      <c r="AK75" s="22" t="str">
        <f t="shared" si="73"/>
        <v>1R X 11kV X 3C X 240 Sqmm</v>
      </c>
      <c r="AL75" s="23">
        <f t="shared" si="74"/>
        <v>650</v>
      </c>
      <c r="AM75" s="47"/>
      <c r="AN75" s="30">
        <f t="shared" si="11"/>
        <v>2</v>
      </c>
      <c r="AO75" s="20"/>
    </row>
    <row r="76" spans="1:41" ht="39.950000000000003" customHeight="1">
      <c r="A76" s="46">
        <v>11</v>
      </c>
      <c r="B76" s="45" t="s">
        <v>165</v>
      </c>
      <c r="C76" s="19" t="s">
        <v>81</v>
      </c>
      <c r="D76" s="19">
        <v>14000</v>
      </c>
      <c r="E76" s="19"/>
      <c r="F76" s="19">
        <v>11</v>
      </c>
      <c r="G76" s="20">
        <v>0.75</v>
      </c>
      <c r="H76" s="20">
        <v>0.97</v>
      </c>
      <c r="I76" s="20">
        <f t="shared" si="76"/>
        <v>734.83098887255937</v>
      </c>
      <c r="J76" s="20">
        <f t="shared" si="77"/>
        <v>0</v>
      </c>
      <c r="K76" s="20">
        <f t="shared" si="78"/>
        <v>0</v>
      </c>
      <c r="L76" s="20">
        <v>50</v>
      </c>
      <c r="M76" s="20">
        <v>0.16</v>
      </c>
      <c r="N76" s="20">
        <f t="shared" si="79"/>
        <v>212.7659574468085</v>
      </c>
      <c r="O76" s="19" t="s">
        <v>66</v>
      </c>
      <c r="P76" s="20" t="s">
        <v>56</v>
      </c>
      <c r="Q76" s="21">
        <v>400</v>
      </c>
      <c r="R76" s="19">
        <v>575</v>
      </c>
      <c r="S76" s="22">
        <v>0.1018</v>
      </c>
      <c r="T76" s="22">
        <v>9.3700000000000006E-2</v>
      </c>
      <c r="U76" s="19">
        <v>600</v>
      </c>
      <c r="V76" s="19">
        <v>0.89</v>
      </c>
      <c r="W76" s="19">
        <v>0.78</v>
      </c>
      <c r="X76" s="19" t="s">
        <v>142</v>
      </c>
      <c r="Y76" s="19">
        <v>0</v>
      </c>
      <c r="Z76" s="19">
        <v>0</v>
      </c>
      <c r="AA76" s="22">
        <v>0.69420000000000004</v>
      </c>
      <c r="AB76" s="20">
        <f t="shared" si="65"/>
        <v>399.16500000000002</v>
      </c>
      <c r="AC76" s="23">
        <v>2</v>
      </c>
      <c r="AD76" s="20" t="str">
        <f t="shared" si="66"/>
        <v>YES</v>
      </c>
      <c r="AE76" s="22">
        <f t="shared" si="67"/>
        <v>52.817207758311049</v>
      </c>
      <c r="AF76" s="22">
        <f t="shared" si="68"/>
        <v>0.48015643416646403</v>
      </c>
      <c r="AG76" s="19" t="str">
        <f t="shared" si="69"/>
        <v>YES</v>
      </c>
      <c r="AH76" s="22" t="str">
        <f t="shared" si="70"/>
        <v>NA</v>
      </c>
      <c r="AI76" s="22" t="str">
        <f t="shared" si="71"/>
        <v>NA</v>
      </c>
      <c r="AJ76" s="22" t="str">
        <f t="shared" si="72"/>
        <v>NA</v>
      </c>
      <c r="AK76" s="22" t="str">
        <f t="shared" si="73"/>
        <v>2R X 11kV X 1C X 400 Sqmm</v>
      </c>
      <c r="AL76" s="23">
        <f t="shared" si="74"/>
        <v>3600</v>
      </c>
      <c r="AM76" s="47"/>
      <c r="AN76" s="30">
        <f t="shared" si="11"/>
        <v>4</v>
      </c>
      <c r="AO76" s="20"/>
    </row>
    <row r="77" spans="1:41" ht="39.950000000000003" customHeight="1">
      <c r="A77" s="46">
        <v>12</v>
      </c>
      <c r="B77" s="45" t="s">
        <v>166</v>
      </c>
      <c r="C77" s="19" t="s">
        <v>81</v>
      </c>
      <c r="D77" s="19">
        <v>14000</v>
      </c>
      <c r="E77" s="19"/>
      <c r="F77" s="19">
        <v>11</v>
      </c>
      <c r="G77" s="20">
        <v>0.83</v>
      </c>
      <c r="H77" s="20">
        <v>0.93</v>
      </c>
      <c r="I77" s="20">
        <f t="shared" si="76"/>
        <v>734.83098887255937</v>
      </c>
      <c r="J77" s="20">
        <f t="shared" si="77"/>
        <v>0</v>
      </c>
      <c r="K77" s="20">
        <f t="shared" si="78"/>
        <v>0</v>
      </c>
      <c r="L77" s="20">
        <v>50</v>
      </c>
      <c r="M77" s="20">
        <v>0.16</v>
      </c>
      <c r="N77" s="20">
        <f t="shared" si="79"/>
        <v>212.7659574468085</v>
      </c>
      <c r="O77" s="19" t="s">
        <v>66</v>
      </c>
      <c r="P77" s="20" t="s">
        <v>56</v>
      </c>
      <c r="Q77" s="21">
        <v>400</v>
      </c>
      <c r="R77" s="19">
        <v>575</v>
      </c>
      <c r="S77" s="22">
        <v>0.1018</v>
      </c>
      <c r="T77" s="22">
        <v>9.3700000000000006E-2</v>
      </c>
      <c r="U77" s="19">
        <v>450</v>
      </c>
      <c r="V77" s="19">
        <v>0.89</v>
      </c>
      <c r="W77" s="19">
        <v>0.78</v>
      </c>
      <c r="X77" s="19" t="s">
        <v>142</v>
      </c>
      <c r="Y77" s="19">
        <v>0</v>
      </c>
      <c r="Z77" s="19">
        <v>0</v>
      </c>
      <c r="AA77" s="22">
        <v>0.69420000000000004</v>
      </c>
      <c r="AB77" s="20">
        <f t="shared" si="65"/>
        <v>399.16500000000002</v>
      </c>
      <c r="AC77" s="23">
        <v>2</v>
      </c>
      <c r="AD77" s="20" t="str">
        <f t="shared" si="66"/>
        <v>YES</v>
      </c>
      <c r="AE77" s="22">
        <f t="shared" si="67"/>
        <v>39.163217311892929</v>
      </c>
      <c r="AF77" s="22">
        <f t="shared" si="68"/>
        <v>0.35602924828993571</v>
      </c>
      <c r="AG77" s="19" t="str">
        <f t="shared" si="69"/>
        <v>YES</v>
      </c>
      <c r="AH77" s="22" t="str">
        <f t="shared" si="70"/>
        <v>NA</v>
      </c>
      <c r="AI77" s="22" t="str">
        <f t="shared" si="71"/>
        <v>NA</v>
      </c>
      <c r="AJ77" s="22" t="str">
        <f t="shared" si="72"/>
        <v>NA</v>
      </c>
      <c r="AK77" s="22" t="str">
        <f t="shared" si="73"/>
        <v>2R X 11kV X 1C X 400 Sqmm</v>
      </c>
      <c r="AL77" s="23">
        <f t="shared" si="74"/>
        <v>2700</v>
      </c>
      <c r="AM77" s="47"/>
      <c r="AN77" s="30">
        <f t="shared" si="11"/>
        <v>4</v>
      </c>
      <c r="AO77" s="20"/>
    </row>
    <row r="78" spans="1:41" s="122" customFormat="1" ht="39.950000000000003" customHeight="1">
      <c r="A78" s="124">
        <v>13</v>
      </c>
      <c r="B78" s="125" t="s">
        <v>167</v>
      </c>
      <c r="C78" s="126" t="s">
        <v>81</v>
      </c>
      <c r="D78" s="126">
        <v>20000</v>
      </c>
      <c r="E78" s="126"/>
      <c r="F78" s="126">
        <v>11</v>
      </c>
      <c r="G78" s="116">
        <v>0.83</v>
      </c>
      <c r="H78" s="116">
        <v>0.93</v>
      </c>
      <c r="I78" s="127">
        <f t="shared" si="76"/>
        <v>1049.7585555322275</v>
      </c>
      <c r="J78" s="127">
        <f t="shared" si="77"/>
        <v>0</v>
      </c>
      <c r="K78" s="127">
        <f t="shared" si="78"/>
        <v>0</v>
      </c>
      <c r="L78" s="127">
        <v>50</v>
      </c>
      <c r="M78" s="127">
        <v>0.16</v>
      </c>
      <c r="N78" s="127">
        <f t="shared" si="79"/>
        <v>212.7659574468085</v>
      </c>
      <c r="O78" s="126" t="s">
        <v>66</v>
      </c>
      <c r="P78" s="127" t="s">
        <v>56</v>
      </c>
      <c r="Q78" s="128">
        <v>400</v>
      </c>
      <c r="R78" s="126">
        <v>387</v>
      </c>
      <c r="S78" s="129">
        <v>0.16200000000000001</v>
      </c>
      <c r="T78" s="129">
        <v>8.7999999999999995E-2</v>
      </c>
      <c r="U78" s="126">
        <v>490</v>
      </c>
      <c r="V78" s="126">
        <v>0.89</v>
      </c>
      <c r="W78" s="126">
        <v>0.73</v>
      </c>
      <c r="X78" s="126" t="s">
        <v>142</v>
      </c>
      <c r="Y78" s="126">
        <v>0</v>
      </c>
      <c r="Z78" s="126">
        <v>0</v>
      </c>
      <c r="AA78" s="129">
        <v>0.64969999999999994</v>
      </c>
      <c r="AB78" s="127">
        <f t="shared" si="65"/>
        <v>251.43389999999997</v>
      </c>
      <c r="AC78" s="130">
        <v>5</v>
      </c>
      <c r="AD78" s="127" t="str">
        <f t="shared" si="66"/>
        <v>YES</v>
      </c>
      <c r="AE78" s="129">
        <f t="shared" si="67"/>
        <v>32.70501660005516</v>
      </c>
      <c r="AF78" s="129">
        <f t="shared" si="68"/>
        <v>0.29731833272777419</v>
      </c>
      <c r="AG78" s="126" t="str">
        <f t="shared" si="69"/>
        <v>YES</v>
      </c>
      <c r="AH78" s="129" t="str">
        <f t="shared" si="70"/>
        <v>NA</v>
      </c>
      <c r="AI78" s="129" t="str">
        <f t="shared" si="71"/>
        <v>NA</v>
      </c>
      <c r="AJ78" s="129" t="str">
        <f t="shared" si="72"/>
        <v>NA</v>
      </c>
      <c r="AK78" s="129" t="str">
        <f t="shared" si="73"/>
        <v>5R X 11kV X 1C X 400 Sqmm</v>
      </c>
      <c r="AL78" s="130">
        <f t="shared" si="74"/>
        <v>7350</v>
      </c>
      <c r="AM78" s="131"/>
      <c r="AN78" s="121">
        <f t="shared" ref="AN78:AN94" si="80">AC78*2</f>
        <v>10</v>
      </c>
      <c r="AO78" s="116"/>
    </row>
    <row r="79" spans="1:41" ht="39.950000000000003" customHeight="1">
      <c r="A79" s="100">
        <v>14</v>
      </c>
      <c r="B79" s="77" t="s">
        <v>168</v>
      </c>
      <c r="C79" s="53" t="s">
        <v>81</v>
      </c>
      <c r="D79" s="53">
        <v>2500</v>
      </c>
      <c r="E79" s="53"/>
      <c r="F79" s="53">
        <v>11</v>
      </c>
      <c r="G79" s="20">
        <v>0.83</v>
      </c>
      <c r="H79" s="20">
        <v>0.93</v>
      </c>
      <c r="I79" s="54">
        <f t="shared" si="76"/>
        <v>131.21981944152844</v>
      </c>
      <c r="J79" s="54">
        <f t="shared" si="77"/>
        <v>0</v>
      </c>
      <c r="K79" s="54">
        <f t="shared" si="78"/>
        <v>0</v>
      </c>
      <c r="L79" s="54">
        <v>50</v>
      </c>
      <c r="M79" s="54">
        <v>0.16</v>
      </c>
      <c r="N79" s="54">
        <f t="shared" si="79"/>
        <v>212.7659574468085</v>
      </c>
      <c r="O79" s="53" t="s">
        <v>66</v>
      </c>
      <c r="P79" s="54" t="s">
        <v>57</v>
      </c>
      <c r="Q79" s="55">
        <v>240</v>
      </c>
      <c r="R79" s="53">
        <v>387</v>
      </c>
      <c r="S79" s="56">
        <v>0.16200000000000001</v>
      </c>
      <c r="T79" s="56">
        <v>8.7999999999999995E-2</v>
      </c>
      <c r="U79" s="53">
        <v>2000</v>
      </c>
      <c r="V79" s="53">
        <v>0.89</v>
      </c>
      <c r="W79" s="53">
        <v>0.73</v>
      </c>
      <c r="X79" s="53" t="s">
        <v>142</v>
      </c>
      <c r="Y79" s="53">
        <v>0</v>
      </c>
      <c r="Z79" s="53">
        <v>0</v>
      </c>
      <c r="AA79" s="56">
        <v>0.64969999999999994</v>
      </c>
      <c r="AB79" s="54">
        <f t="shared" si="65"/>
        <v>251.43389999999997</v>
      </c>
      <c r="AC79" s="57">
        <f t="shared" si="75"/>
        <v>1</v>
      </c>
      <c r="AD79" s="54" t="str">
        <f t="shared" si="66"/>
        <v>YES</v>
      </c>
      <c r="AE79" s="56">
        <f t="shared" si="67"/>
        <v>83.431164796059107</v>
      </c>
      <c r="AF79" s="56">
        <f t="shared" si="68"/>
        <v>0.75846513450962827</v>
      </c>
      <c r="AG79" s="53" t="str">
        <f t="shared" si="69"/>
        <v>YES</v>
      </c>
      <c r="AH79" s="56" t="str">
        <f t="shared" si="70"/>
        <v>NA</v>
      </c>
      <c r="AI79" s="56" t="str">
        <f t="shared" si="71"/>
        <v>NA</v>
      </c>
      <c r="AJ79" s="56" t="str">
        <f t="shared" si="72"/>
        <v>NA</v>
      </c>
      <c r="AK79" s="56" t="str">
        <f t="shared" si="73"/>
        <v>1R X 11kV X 3C X 240 Sqmm</v>
      </c>
      <c r="AL79" s="57">
        <f t="shared" si="74"/>
        <v>2000</v>
      </c>
      <c r="AM79" s="73"/>
      <c r="AN79" s="30"/>
      <c r="AO79" s="20"/>
    </row>
    <row r="80" spans="1:41" ht="39.950000000000003" customHeight="1">
      <c r="A80" s="100">
        <v>15</v>
      </c>
      <c r="B80" s="77" t="s">
        <v>169</v>
      </c>
      <c r="C80" s="53" t="s">
        <v>81</v>
      </c>
      <c r="D80" s="53">
        <v>6500</v>
      </c>
      <c r="E80" s="53"/>
      <c r="F80" s="53">
        <v>11</v>
      </c>
      <c r="G80" s="20">
        <v>0.83</v>
      </c>
      <c r="H80" s="20">
        <v>0.93</v>
      </c>
      <c r="I80" s="54">
        <f t="shared" si="76"/>
        <v>341.17153054797399</v>
      </c>
      <c r="J80" s="54">
        <f t="shared" si="77"/>
        <v>0</v>
      </c>
      <c r="K80" s="54">
        <f t="shared" si="78"/>
        <v>0</v>
      </c>
      <c r="L80" s="54">
        <v>50</v>
      </c>
      <c r="M80" s="54">
        <v>0.16</v>
      </c>
      <c r="N80" s="54">
        <f t="shared" si="79"/>
        <v>212.7659574468085</v>
      </c>
      <c r="O80" s="53" t="s">
        <v>66</v>
      </c>
      <c r="P80" s="54" t="s">
        <v>56</v>
      </c>
      <c r="Q80" s="55">
        <v>400</v>
      </c>
      <c r="R80" s="53">
        <v>387</v>
      </c>
      <c r="S80" s="56">
        <v>0.16200000000000001</v>
      </c>
      <c r="T80" s="56">
        <v>8.7999999999999995E-2</v>
      </c>
      <c r="U80" s="53">
        <v>2000</v>
      </c>
      <c r="V80" s="53">
        <v>0.89</v>
      </c>
      <c r="W80" s="53">
        <v>0.73</v>
      </c>
      <c r="X80" s="53" t="s">
        <v>142</v>
      </c>
      <c r="Y80" s="53">
        <v>0</v>
      </c>
      <c r="Z80" s="53">
        <v>0</v>
      </c>
      <c r="AA80" s="56">
        <v>0.64969999999999994</v>
      </c>
      <c r="AB80" s="54">
        <f t="shared" si="65"/>
        <v>251.43389999999997</v>
      </c>
      <c r="AC80" s="57">
        <f t="shared" si="75"/>
        <v>2</v>
      </c>
      <c r="AD80" s="54" t="str">
        <f t="shared" si="66"/>
        <v>YES</v>
      </c>
      <c r="AE80" s="56">
        <f t="shared" si="67"/>
        <v>108.46051423487684</v>
      </c>
      <c r="AF80" s="56">
        <f t="shared" si="68"/>
        <v>0.98600467486251675</v>
      </c>
      <c r="AG80" s="53" t="str">
        <f t="shared" si="69"/>
        <v>YES</v>
      </c>
      <c r="AH80" s="56" t="str">
        <f t="shared" si="70"/>
        <v>NA</v>
      </c>
      <c r="AI80" s="56" t="str">
        <f t="shared" si="71"/>
        <v>NA</v>
      </c>
      <c r="AJ80" s="56" t="str">
        <f t="shared" si="72"/>
        <v>NA</v>
      </c>
      <c r="AK80" s="56" t="str">
        <f t="shared" si="73"/>
        <v>2R X 11kV X 1C X 400 Sqmm</v>
      </c>
      <c r="AL80" s="57">
        <f>IF(P80="1C",3*U80*AC80,U80*AC80)</f>
        <v>12000</v>
      </c>
      <c r="AM80" s="73"/>
      <c r="AN80" s="30"/>
      <c r="AO80" s="20"/>
    </row>
    <row r="81" spans="1:41" ht="39.950000000000003" customHeight="1" thickBot="1">
      <c r="A81" s="91"/>
      <c r="B81" s="77"/>
      <c r="C81" s="53"/>
      <c r="D81" s="53"/>
      <c r="E81" s="53"/>
      <c r="F81" s="53"/>
      <c r="G81" s="78"/>
      <c r="H81" s="78"/>
      <c r="I81" s="54"/>
      <c r="J81" s="54"/>
      <c r="K81" s="54"/>
      <c r="L81" s="54"/>
      <c r="M81" s="54"/>
      <c r="N81" s="54"/>
      <c r="O81" s="53"/>
      <c r="P81" s="54"/>
      <c r="Q81" s="55"/>
      <c r="R81" s="53"/>
      <c r="S81" s="56"/>
      <c r="T81" s="56"/>
      <c r="U81" s="53"/>
      <c r="V81" s="53"/>
      <c r="W81" s="53"/>
      <c r="X81" s="53"/>
      <c r="Y81" s="53"/>
      <c r="Z81" s="53"/>
      <c r="AA81" s="56"/>
      <c r="AB81" s="54"/>
      <c r="AC81" s="57"/>
      <c r="AD81" s="54"/>
      <c r="AE81" s="56"/>
      <c r="AF81" s="56"/>
      <c r="AG81" s="53"/>
      <c r="AH81" s="56"/>
      <c r="AI81" s="56"/>
      <c r="AJ81" s="56"/>
      <c r="AK81" s="56"/>
      <c r="AL81" s="57"/>
      <c r="AM81" s="73"/>
      <c r="AN81" s="30"/>
      <c r="AO81" s="20"/>
    </row>
    <row r="82" spans="1:41" s="42" customFormat="1" ht="39.950000000000003" customHeight="1" thickBot="1">
      <c r="A82" s="81"/>
      <c r="B82" s="82" t="s">
        <v>170</v>
      </c>
      <c r="C82" s="83"/>
      <c r="D82" s="83"/>
      <c r="E82" s="83"/>
      <c r="F82" s="83"/>
      <c r="G82" s="84"/>
      <c r="H82" s="84"/>
      <c r="I82" s="84"/>
      <c r="J82" s="84"/>
      <c r="K82" s="84"/>
      <c r="L82" s="84"/>
      <c r="M82" s="84"/>
      <c r="N82" s="84"/>
      <c r="O82" s="83"/>
      <c r="P82" s="84"/>
      <c r="Q82" s="85"/>
      <c r="R82" s="83"/>
      <c r="S82" s="86"/>
      <c r="T82" s="86"/>
      <c r="U82" s="83"/>
      <c r="V82" s="83"/>
      <c r="W82" s="83"/>
      <c r="X82" s="83"/>
      <c r="Y82" s="83"/>
      <c r="Z82" s="83"/>
      <c r="AA82" s="86"/>
      <c r="AB82" s="84"/>
      <c r="AC82" s="87"/>
      <c r="AD82" s="84"/>
      <c r="AE82" s="86"/>
      <c r="AF82" s="86"/>
      <c r="AG82" s="83"/>
      <c r="AH82" s="86"/>
      <c r="AI82" s="86"/>
      <c r="AJ82" s="86"/>
      <c r="AK82" s="86"/>
      <c r="AL82" s="87"/>
      <c r="AM82" s="88"/>
      <c r="AN82" s="30">
        <f t="shared" si="80"/>
        <v>0</v>
      </c>
      <c r="AO82" s="40"/>
    </row>
    <row r="83" spans="1:41" ht="39.950000000000003" customHeight="1">
      <c r="A83" s="58">
        <v>1</v>
      </c>
      <c r="B83" s="59" t="s">
        <v>100</v>
      </c>
      <c r="C83" s="60" t="s">
        <v>81</v>
      </c>
      <c r="D83" s="60">
        <v>630</v>
      </c>
      <c r="E83" s="60"/>
      <c r="F83" s="60">
        <v>11</v>
      </c>
      <c r="G83" s="20">
        <v>0.77</v>
      </c>
      <c r="H83" s="20">
        <v>0.94499999999999995</v>
      </c>
      <c r="I83" s="62">
        <f t="shared" ref="I83:I88" si="81">IF(D83="",(E83/(1.732*F83*G83*H83)),(D83/(1.732*F83)))</f>
        <v>33.06739449926517</v>
      </c>
      <c r="J83" s="62">
        <f t="shared" ref="J83:J88" si="82">IF(C83="M",7.2*I83,0)</f>
        <v>0</v>
      </c>
      <c r="K83" s="62">
        <f t="shared" ref="K83:K88" si="83">IF(C83="M",0.2,0)</f>
        <v>0</v>
      </c>
      <c r="L83" s="62">
        <v>50</v>
      </c>
      <c r="M83" s="62">
        <v>0.16</v>
      </c>
      <c r="N83" s="62">
        <f t="shared" ref="N83:N88" si="84">(L83*1000*SQRT(M83)/94)</f>
        <v>212.7659574468085</v>
      </c>
      <c r="O83" s="60" t="s">
        <v>66</v>
      </c>
      <c r="P83" s="62" t="s">
        <v>57</v>
      </c>
      <c r="Q83" s="63">
        <v>240</v>
      </c>
      <c r="R83" s="60">
        <v>387</v>
      </c>
      <c r="S83" s="64">
        <v>0.16200000000000001</v>
      </c>
      <c r="T83" s="64">
        <v>8.7999999999999995E-2</v>
      </c>
      <c r="U83" s="60">
        <v>150</v>
      </c>
      <c r="V83" s="60">
        <v>0.89</v>
      </c>
      <c r="W83" s="60">
        <v>0.73</v>
      </c>
      <c r="X83" s="60" t="s">
        <v>142</v>
      </c>
      <c r="Y83" s="60">
        <v>0</v>
      </c>
      <c r="Z83" s="60">
        <v>0</v>
      </c>
      <c r="AA83" s="64">
        <v>0.64969999999999994</v>
      </c>
      <c r="AB83" s="62">
        <f t="shared" ref="AB83:AB96" si="85">R83*AA83</f>
        <v>251.43389999999997</v>
      </c>
      <c r="AC83" s="65">
        <f t="shared" ref="AC83:AC94" si="86">ROUNDUP(((I83)/AB83),0)</f>
        <v>1</v>
      </c>
      <c r="AD83" s="62" t="str">
        <f t="shared" ref="AD83:AD94" si="87">IF(AB83*AC83&gt;=I83,"YES","NO")</f>
        <v>YES</v>
      </c>
      <c r="AE83" s="64">
        <f t="shared" ref="AE83:AE94" si="88">IF(C83="M",(SQRT(3)*I83*(U83/1000)*((S83/AC83)*G83+(T83/AC83)*SIN(ACOS(G83)))),(SQRT(3)*I83*(U83/1000)*((S83/AC83)*G83+(T83/AC83)*SIN(ACOS(G83)))))</f>
        <v>1.5540367632892962</v>
      </c>
      <c r="AF83" s="64">
        <f t="shared" ref="AF83:AF96" si="89">(AE83/(F83*1000))*100</f>
        <v>1.4127606938993601E-2</v>
      </c>
      <c r="AG83" s="60" t="str">
        <f t="shared" ref="AG83:AG96" si="90">IF(C83="I",IF(AF83&lt;=2,"YES","NO"),IF(AF83&lt;=3,"YES","NO"))</f>
        <v>YES</v>
      </c>
      <c r="AH83" s="64" t="str">
        <f t="shared" ref="AH83:AH94" si="91">IF(C83="M",(SQRT(3)*J83*(U83/1000)*((S83/AC83)*K83+(T83/AC83)*SIN(ACOS(K83)))),"NA")</f>
        <v>NA</v>
      </c>
      <c r="AI83" s="64" t="str">
        <f t="shared" ref="AI83:AI96" si="92">IF(C83="M",(AH83/(F83*1000))*100,"NA")</f>
        <v>NA</v>
      </c>
      <c r="AJ83" s="64" t="str">
        <f t="shared" ref="AJ83:AJ96" si="93">IF(C83="M",IF(AI83&lt;=10,"YES","NO"),"NA")</f>
        <v>NA</v>
      </c>
      <c r="AK83" s="64" t="str">
        <f t="shared" ref="AK83:AK94" si="94">IF(C83="M",IF(AND(Q83&gt;=N83,AD83="YES",AG83="YES",AJ83="YES"),CONCATENATE(AC83,"R X ",F83,"kV X ",P83," X ",Q83," Sqmm"),"Cable size is not correct"),IF(AND(Q83&gt;=N83,AD83="YES",AG83="YES",AJ83="NA"),CONCATENATE(AC83,"R X ",F83,"kV X ",P83," X ",Q83," Sqmm"),"Cable size is not correct"))</f>
        <v>1R X 11kV X 3C X 240 Sqmm</v>
      </c>
      <c r="AL83" s="65">
        <f t="shared" ref="AL83:AL94" si="95">IF(P83="1C",3*U83*AC83,U83*AC83)</f>
        <v>150</v>
      </c>
      <c r="AM83" s="80"/>
      <c r="AN83" s="30">
        <f t="shared" si="80"/>
        <v>2</v>
      </c>
      <c r="AO83" s="20"/>
    </row>
    <row r="84" spans="1:41" ht="39.950000000000003" customHeight="1">
      <c r="A84" s="58">
        <v>2</v>
      </c>
      <c r="B84" s="59" t="s">
        <v>159</v>
      </c>
      <c r="C84" s="60" t="s">
        <v>81</v>
      </c>
      <c r="D84" s="60">
        <v>630</v>
      </c>
      <c r="E84" s="60"/>
      <c r="F84" s="60">
        <v>11</v>
      </c>
      <c r="G84" s="20">
        <v>0.77</v>
      </c>
      <c r="H84" s="20">
        <v>0.94499999999999995</v>
      </c>
      <c r="I84" s="62">
        <f t="shared" si="81"/>
        <v>33.06739449926517</v>
      </c>
      <c r="J84" s="62">
        <f t="shared" si="82"/>
        <v>0</v>
      </c>
      <c r="K84" s="62">
        <f t="shared" si="83"/>
        <v>0</v>
      </c>
      <c r="L84" s="62">
        <v>50</v>
      </c>
      <c r="M84" s="62">
        <v>0.16</v>
      </c>
      <c r="N84" s="62">
        <f t="shared" si="84"/>
        <v>212.7659574468085</v>
      </c>
      <c r="O84" s="60" t="s">
        <v>66</v>
      </c>
      <c r="P84" s="62" t="s">
        <v>57</v>
      </c>
      <c r="Q84" s="63">
        <v>240</v>
      </c>
      <c r="R84" s="60">
        <v>387</v>
      </c>
      <c r="S84" s="64">
        <v>0.16200000000000001</v>
      </c>
      <c r="T84" s="64">
        <v>8.7999999999999995E-2</v>
      </c>
      <c r="U84" s="60">
        <v>2000</v>
      </c>
      <c r="V84" s="60">
        <v>0.89</v>
      </c>
      <c r="W84" s="60">
        <v>0.73</v>
      </c>
      <c r="X84" s="60" t="s">
        <v>142</v>
      </c>
      <c r="Y84" s="60">
        <v>0</v>
      </c>
      <c r="Z84" s="60">
        <v>0</v>
      </c>
      <c r="AA84" s="64">
        <v>0.64969999999999994</v>
      </c>
      <c r="AB84" s="62">
        <f t="shared" si="85"/>
        <v>251.43389999999997</v>
      </c>
      <c r="AC84" s="65">
        <f t="shared" si="86"/>
        <v>1</v>
      </c>
      <c r="AD84" s="62" t="str">
        <f t="shared" si="87"/>
        <v>YES</v>
      </c>
      <c r="AE84" s="64">
        <f t="shared" si="88"/>
        <v>20.720490177190619</v>
      </c>
      <c r="AF84" s="64">
        <f t="shared" si="89"/>
        <v>0.18836809251991474</v>
      </c>
      <c r="AG84" s="60" t="str">
        <f t="shared" si="90"/>
        <v>YES</v>
      </c>
      <c r="AH84" s="64" t="str">
        <f t="shared" si="91"/>
        <v>NA</v>
      </c>
      <c r="AI84" s="64" t="str">
        <f t="shared" si="92"/>
        <v>NA</v>
      </c>
      <c r="AJ84" s="64" t="str">
        <f t="shared" si="93"/>
        <v>NA</v>
      </c>
      <c r="AK84" s="64" t="str">
        <f t="shared" si="94"/>
        <v>1R X 11kV X 3C X 240 Sqmm</v>
      </c>
      <c r="AL84" s="65">
        <f t="shared" si="95"/>
        <v>2000</v>
      </c>
      <c r="AM84" s="80"/>
      <c r="AN84" s="30"/>
      <c r="AO84" s="20"/>
    </row>
    <row r="85" spans="1:41" ht="39.950000000000003" customHeight="1">
      <c r="A85" s="58">
        <v>3</v>
      </c>
      <c r="B85" s="45" t="s">
        <v>96</v>
      </c>
      <c r="C85" s="19" t="s">
        <v>81</v>
      </c>
      <c r="D85" s="19">
        <v>750</v>
      </c>
      <c r="E85" s="19"/>
      <c r="F85" s="19">
        <v>11</v>
      </c>
      <c r="G85" s="20">
        <v>0.88</v>
      </c>
      <c r="H85" s="20">
        <v>0.95</v>
      </c>
      <c r="I85" s="20">
        <f t="shared" si="81"/>
        <v>39.365945832458536</v>
      </c>
      <c r="J85" s="20">
        <f t="shared" si="82"/>
        <v>0</v>
      </c>
      <c r="K85" s="20">
        <f t="shared" si="83"/>
        <v>0</v>
      </c>
      <c r="L85" s="20">
        <v>50</v>
      </c>
      <c r="M85" s="20">
        <v>0.16</v>
      </c>
      <c r="N85" s="20">
        <f t="shared" si="84"/>
        <v>212.7659574468085</v>
      </c>
      <c r="O85" s="19" t="s">
        <v>66</v>
      </c>
      <c r="P85" s="20" t="s">
        <v>57</v>
      </c>
      <c r="Q85" s="21">
        <v>240</v>
      </c>
      <c r="R85" s="19">
        <v>387</v>
      </c>
      <c r="S85" s="22">
        <v>0.16200000000000001</v>
      </c>
      <c r="T85" s="22">
        <v>8.7999999999999995E-2</v>
      </c>
      <c r="U85" s="19">
        <v>400</v>
      </c>
      <c r="V85" s="19">
        <v>0.89</v>
      </c>
      <c r="W85" s="19">
        <v>0.73</v>
      </c>
      <c r="X85" s="19" t="s">
        <v>142</v>
      </c>
      <c r="Y85" s="19">
        <v>0</v>
      </c>
      <c r="Z85" s="19">
        <v>0</v>
      </c>
      <c r="AA85" s="22">
        <v>0.64969999999999994</v>
      </c>
      <c r="AB85" s="20">
        <f t="shared" si="85"/>
        <v>251.43389999999997</v>
      </c>
      <c r="AC85" s="23">
        <f t="shared" si="86"/>
        <v>1</v>
      </c>
      <c r="AD85" s="20" t="str">
        <f t="shared" si="87"/>
        <v>YES</v>
      </c>
      <c r="AE85" s="22">
        <f t="shared" si="88"/>
        <v>5.0280843329926643</v>
      </c>
      <c r="AF85" s="22">
        <f t="shared" si="89"/>
        <v>4.5709857572660585E-2</v>
      </c>
      <c r="AG85" s="19" t="str">
        <f t="shared" si="90"/>
        <v>YES</v>
      </c>
      <c r="AH85" s="22" t="str">
        <f t="shared" si="91"/>
        <v>NA</v>
      </c>
      <c r="AI85" s="22" t="str">
        <f t="shared" si="92"/>
        <v>NA</v>
      </c>
      <c r="AJ85" s="22" t="str">
        <f t="shared" si="93"/>
        <v>NA</v>
      </c>
      <c r="AK85" s="22" t="str">
        <f t="shared" si="94"/>
        <v>1R X 11kV X 3C X 240 Sqmm</v>
      </c>
      <c r="AL85" s="23">
        <f t="shared" si="95"/>
        <v>400</v>
      </c>
      <c r="AM85" s="31"/>
      <c r="AN85" s="30">
        <f t="shared" si="80"/>
        <v>2</v>
      </c>
      <c r="AO85" s="20"/>
    </row>
    <row r="86" spans="1:41" s="182" customFormat="1" ht="39.950000000000003" customHeight="1">
      <c r="A86" s="173">
        <v>4</v>
      </c>
      <c r="B86" s="174" t="s">
        <v>160</v>
      </c>
      <c r="C86" s="175" t="s">
        <v>81</v>
      </c>
      <c r="D86" s="175">
        <v>630</v>
      </c>
      <c r="E86" s="175"/>
      <c r="F86" s="175">
        <v>11</v>
      </c>
      <c r="G86" s="176">
        <v>0.83</v>
      </c>
      <c r="H86" s="176">
        <v>0.93</v>
      </c>
      <c r="I86" s="176">
        <f t="shared" si="81"/>
        <v>33.06739449926517</v>
      </c>
      <c r="J86" s="176">
        <f t="shared" si="82"/>
        <v>0</v>
      </c>
      <c r="K86" s="176">
        <f t="shared" si="83"/>
        <v>0</v>
      </c>
      <c r="L86" s="176">
        <v>50</v>
      </c>
      <c r="M86" s="176">
        <v>0.16</v>
      </c>
      <c r="N86" s="176">
        <f t="shared" si="84"/>
        <v>212.7659574468085</v>
      </c>
      <c r="O86" s="175" t="s">
        <v>66</v>
      </c>
      <c r="P86" s="176" t="s">
        <v>57</v>
      </c>
      <c r="Q86" s="177">
        <v>240</v>
      </c>
      <c r="R86" s="175">
        <v>387</v>
      </c>
      <c r="S86" s="178">
        <v>0.16200000000000001</v>
      </c>
      <c r="T86" s="178">
        <v>8.7999999999999995E-2</v>
      </c>
      <c r="U86" s="175">
        <v>200</v>
      </c>
      <c r="V86" s="175">
        <v>0.89</v>
      </c>
      <c r="W86" s="175">
        <v>0.73</v>
      </c>
      <c r="X86" s="175" t="s">
        <v>142</v>
      </c>
      <c r="Y86" s="175">
        <v>0</v>
      </c>
      <c r="Z86" s="175">
        <v>0</v>
      </c>
      <c r="AA86" s="178">
        <v>0.64969999999999994</v>
      </c>
      <c r="AB86" s="176">
        <f t="shared" si="85"/>
        <v>251.43389999999997</v>
      </c>
      <c r="AC86" s="179">
        <f t="shared" si="86"/>
        <v>1</v>
      </c>
      <c r="AD86" s="176" t="str">
        <f t="shared" si="87"/>
        <v>YES</v>
      </c>
      <c r="AE86" s="178">
        <f t="shared" si="88"/>
        <v>2.1024653528606896</v>
      </c>
      <c r="AF86" s="178">
        <f t="shared" si="89"/>
        <v>1.9113321389642633E-2</v>
      </c>
      <c r="AG86" s="175" t="str">
        <f t="shared" si="90"/>
        <v>YES</v>
      </c>
      <c r="AH86" s="178" t="str">
        <f t="shared" si="91"/>
        <v>NA</v>
      </c>
      <c r="AI86" s="178" t="str">
        <f t="shared" si="92"/>
        <v>NA</v>
      </c>
      <c r="AJ86" s="178" t="str">
        <f t="shared" si="93"/>
        <v>NA</v>
      </c>
      <c r="AK86" s="178" t="str">
        <f t="shared" si="94"/>
        <v>1R X 11kV X 3C X 240 Sqmm</v>
      </c>
      <c r="AL86" s="179">
        <f t="shared" si="95"/>
        <v>200</v>
      </c>
      <c r="AM86" s="180"/>
      <c r="AN86" s="181">
        <f t="shared" si="80"/>
        <v>2</v>
      </c>
      <c r="AO86" s="176"/>
    </row>
    <row r="87" spans="1:41" ht="39.950000000000003" customHeight="1">
      <c r="A87" s="58">
        <v>5</v>
      </c>
      <c r="B87" s="45" t="s">
        <v>161</v>
      </c>
      <c r="C87" s="19" t="s">
        <v>81</v>
      </c>
      <c r="D87" s="19">
        <v>750</v>
      </c>
      <c r="E87" s="19"/>
      <c r="F87" s="19">
        <v>11</v>
      </c>
      <c r="G87" s="20">
        <v>0.77</v>
      </c>
      <c r="H87" s="20">
        <v>0.94499999999999995</v>
      </c>
      <c r="I87" s="20">
        <f t="shared" si="81"/>
        <v>39.365945832458536</v>
      </c>
      <c r="J87" s="20">
        <f t="shared" si="82"/>
        <v>0</v>
      </c>
      <c r="K87" s="20">
        <f t="shared" si="83"/>
        <v>0</v>
      </c>
      <c r="L87" s="20">
        <v>50</v>
      </c>
      <c r="M87" s="20">
        <v>0.16</v>
      </c>
      <c r="N87" s="20">
        <f t="shared" si="84"/>
        <v>212.7659574468085</v>
      </c>
      <c r="O87" s="19" t="s">
        <v>66</v>
      </c>
      <c r="P87" s="20" t="s">
        <v>57</v>
      </c>
      <c r="Q87" s="21">
        <v>240</v>
      </c>
      <c r="R87" s="19">
        <v>387</v>
      </c>
      <c r="S87" s="22">
        <v>0.16200000000000001</v>
      </c>
      <c r="T87" s="22">
        <v>8.7999999999999995E-2</v>
      </c>
      <c r="U87" s="19">
        <v>250</v>
      </c>
      <c r="V87" s="19">
        <v>0.89</v>
      </c>
      <c r="W87" s="19">
        <v>0.73</v>
      </c>
      <c r="X87" s="19" t="s">
        <v>142</v>
      </c>
      <c r="Y87" s="19">
        <v>0</v>
      </c>
      <c r="Z87" s="19">
        <v>0</v>
      </c>
      <c r="AA87" s="22">
        <v>0.64969999999999994</v>
      </c>
      <c r="AB87" s="20">
        <f t="shared" si="85"/>
        <v>251.43389999999997</v>
      </c>
      <c r="AC87" s="23">
        <f t="shared" si="86"/>
        <v>1</v>
      </c>
      <c r="AD87" s="20" t="str">
        <f t="shared" si="87"/>
        <v>YES</v>
      </c>
      <c r="AE87" s="22">
        <f t="shared" si="88"/>
        <v>3.0834062763676515</v>
      </c>
      <c r="AF87" s="22">
        <f t="shared" si="89"/>
        <v>2.803096614879683E-2</v>
      </c>
      <c r="AG87" s="19" t="str">
        <f t="shared" si="90"/>
        <v>YES</v>
      </c>
      <c r="AH87" s="22" t="str">
        <f t="shared" si="91"/>
        <v>NA</v>
      </c>
      <c r="AI87" s="22" t="str">
        <f t="shared" si="92"/>
        <v>NA</v>
      </c>
      <c r="AJ87" s="22" t="str">
        <f t="shared" si="93"/>
        <v>NA</v>
      </c>
      <c r="AK87" s="22" t="str">
        <f t="shared" si="94"/>
        <v>1R X 11kV X 3C X 240 Sqmm</v>
      </c>
      <c r="AL87" s="23">
        <f t="shared" si="95"/>
        <v>250</v>
      </c>
      <c r="AM87" s="31"/>
      <c r="AN87" s="30">
        <f t="shared" si="80"/>
        <v>2</v>
      </c>
      <c r="AO87" s="20"/>
    </row>
    <row r="88" spans="1:41" ht="39.950000000000003" customHeight="1">
      <c r="A88" s="58">
        <v>6</v>
      </c>
      <c r="B88" s="45" t="s">
        <v>135</v>
      </c>
      <c r="C88" s="19" t="s">
        <v>81</v>
      </c>
      <c r="D88" s="19">
        <v>2000</v>
      </c>
      <c r="E88" s="19"/>
      <c r="F88" s="19">
        <v>11</v>
      </c>
      <c r="G88" s="20">
        <v>0.85</v>
      </c>
      <c r="H88" s="20">
        <v>0.92</v>
      </c>
      <c r="I88" s="20">
        <f t="shared" si="81"/>
        <v>104.97585555322276</v>
      </c>
      <c r="J88" s="20">
        <f t="shared" si="82"/>
        <v>0</v>
      </c>
      <c r="K88" s="20">
        <f t="shared" si="83"/>
        <v>0</v>
      </c>
      <c r="L88" s="20">
        <v>50</v>
      </c>
      <c r="M88" s="20">
        <v>0.16</v>
      </c>
      <c r="N88" s="20">
        <f t="shared" si="84"/>
        <v>212.7659574468085</v>
      </c>
      <c r="O88" s="19" t="s">
        <v>66</v>
      </c>
      <c r="P88" s="20" t="s">
        <v>57</v>
      </c>
      <c r="Q88" s="21">
        <v>240</v>
      </c>
      <c r="R88" s="19">
        <v>387</v>
      </c>
      <c r="S88" s="22">
        <v>0.16200000000000001</v>
      </c>
      <c r="T88" s="22">
        <v>8.7999999999999995E-2</v>
      </c>
      <c r="U88" s="19">
        <v>535</v>
      </c>
      <c r="V88" s="19">
        <v>0.89</v>
      </c>
      <c r="W88" s="19">
        <v>0.73</v>
      </c>
      <c r="X88" s="19" t="s">
        <v>142</v>
      </c>
      <c r="Y88" s="19">
        <v>0</v>
      </c>
      <c r="Z88" s="19">
        <v>0</v>
      </c>
      <c r="AA88" s="22">
        <v>0.64969999999999994</v>
      </c>
      <c r="AB88" s="20">
        <f t="shared" si="85"/>
        <v>251.43389999999997</v>
      </c>
      <c r="AC88" s="23">
        <f t="shared" si="86"/>
        <v>1</v>
      </c>
      <c r="AD88" s="20" t="str">
        <f t="shared" si="87"/>
        <v>YES</v>
      </c>
      <c r="AE88" s="22">
        <f t="shared" si="88"/>
        <v>17.904239550405354</v>
      </c>
      <c r="AF88" s="22">
        <f t="shared" si="89"/>
        <v>0.16276581409459412</v>
      </c>
      <c r="AG88" s="19" t="str">
        <f t="shared" si="90"/>
        <v>YES</v>
      </c>
      <c r="AH88" s="22" t="str">
        <f t="shared" si="91"/>
        <v>NA</v>
      </c>
      <c r="AI88" s="22" t="str">
        <f t="shared" si="92"/>
        <v>NA</v>
      </c>
      <c r="AJ88" s="22" t="str">
        <f t="shared" si="93"/>
        <v>NA</v>
      </c>
      <c r="AK88" s="22" t="str">
        <f t="shared" si="94"/>
        <v>1R X 11kV X 3C X 240 Sqmm</v>
      </c>
      <c r="AL88" s="23">
        <f t="shared" si="95"/>
        <v>535</v>
      </c>
      <c r="AM88" s="31"/>
      <c r="AN88" s="30">
        <f t="shared" si="80"/>
        <v>2</v>
      </c>
      <c r="AO88" s="20"/>
    </row>
    <row r="89" spans="1:41" ht="39.950000000000003" customHeight="1">
      <c r="A89" s="58">
        <v>7</v>
      </c>
      <c r="B89" s="45" t="s">
        <v>99</v>
      </c>
      <c r="C89" s="19" t="s">
        <v>81</v>
      </c>
      <c r="D89" s="19">
        <v>2000</v>
      </c>
      <c r="E89" s="19"/>
      <c r="F89" s="19">
        <v>11</v>
      </c>
      <c r="G89" s="20">
        <v>0.75</v>
      </c>
      <c r="H89" s="20">
        <v>0.97</v>
      </c>
      <c r="I89" s="20">
        <f t="shared" ref="I89:I96" si="96">IF(D89="",(E89/(1.732*F89*G89*H89)),(D89/(1.732*F89)))</f>
        <v>104.97585555322276</v>
      </c>
      <c r="J89" s="20">
        <f t="shared" ref="J89:J96" si="97">IF(C89="M",7.2*I89,0)</f>
        <v>0</v>
      </c>
      <c r="K89" s="20">
        <f t="shared" ref="K89:K96" si="98">IF(C89="M",0.2,0)</f>
        <v>0</v>
      </c>
      <c r="L89" s="20">
        <v>50</v>
      </c>
      <c r="M89" s="20">
        <v>0.16</v>
      </c>
      <c r="N89" s="20">
        <f t="shared" ref="N89:N96" si="99">(L89*1000*SQRT(M89)/94)</f>
        <v>212.7659574468085</v>
      </c>
      <c r="O89" s="19" t="s">
        <v>66</v>
      </c>
      <c r="P89" s="20" t="s">
        <v>57</v>
      </c>
      <c r="Q89" s="21">
        <v>240</v>
      </c>
      <c r="R89" s="19">
        <v>387</v>
      </c>
      <c r="S89" s="22">
        <v>0.16200000000000001</v>
      </c>
      <c r="T89" s="22">
        <v>8.7999999999999995E-2</v>
      </c>
      <c r="U89" s="19">
        <v>1000</v>
      </c>
      <c r="V89" s="19">
        <v>0.89</v>
      </c>
      <c r="W89" s="19">
        <v>0.73</v>
      </c>
      <c r="X89" s="19" t="s">
        <v>142</v>
      </c>
      <c r="Y89" s="19">
        <v>0</v>
      </c>
      <c r="Z89" s="19">
        <v>0</v>
      </c>
      <c r="AA89" s="22">
        <v>0.64969999999999994</v>
      </c>
      <c r="AB89" s="20">
        <f t="shared" si="85"/>
        <v>251.43389999999997</v>
      </c>
      <c r="AC89" s="23">
        <f t="shared" si="86"/>
        <v>1</v>
      </c>
      <c r="AD89" s="20" t="str">
        <f t="shared" si="87"/>
        <v>YES</v>
      </c>
      <c r="AE89" s="22">
        <f t="shared" si="88"/>
        <v>32.674872812161141</v>
      </c>
      <c r="AF89" s="22">
        <f t="shared" si="89"/>
        <v>0.297044298292374</v>
      </c>
      <c r="AG89" s="19" t="str">
        <f t="shared" si="90"/>
        <v>YES</v>
      </c>
      <c r="AH89" s="22" t="str">
        <f t="shared" si="91"/>
        <v>NA</v>
      </c>
      <c r="AI89" s="22" t="str">
        <f t="shared" si="92"/>
        <v>NA</v>
      </c>
      <c r="AJ89" s="22" t="str">
        <f t="shared" si="93"/>
        <v>NA</v>
      </c>
      <c r="AK89" s="22" t="str">
        <f t="shared" si="94"/>
        <v>1R X 11kV X 3C X 240 Sqmm</v>
      </c>
      <c r="AL89" s="23">
        <f t="shared" si="95"/>
        <v>1000</v>
      </c>
      <c r="AM89" s="31"/>
      <c r="AN89" s="30">
        <f t="shared" si="80"/>
        <v>2</v>
      </c>
      <c r="AO89" s="20"/>
    </row>
    <row r="90" spans="1:41" ht="39.950000000000003" customHeight="1">
      <c r="A90" s="58">
        <v>8</v>
      </c>
      <c r="B90" s="45" t="s">
        <v>164</v>
      </c>
      <c r="C90" s="19" t="s">
        <v>81</v>
      </c>
      <c r="D90" s="19">
        <v>1000</v>
      </c>
      <c r="E90" s="19"/>
      <c r="F90" s="19">
        <v>11</v>
      </c>
      <c r="G90" s="20">
        <v>0.77</v>
      </c>
      <c r="H90" s="20">
        <v>0.94499999999999995</v>
      </c>
      <c r="I90" s="20">
        <f t="shared" si="96"/>
        <v>52.487927776611379</v>
      </c>
      <c r="J90" s="20">
        <f t="shared" si="97"/>
        <v>0</v>
      </c>
      <c r="K90" s="20">
        <f t="shared" si="98"/>
        <v>0</v>
      </c>
      <c r="L90" s="20">
        <v>50</v>
      </c>
      <c r="M90" s="20">
        <v>0.16</v>
      </c>
      <c r="N90" s="20">
        <f t="shared" si="99"/>
        <v>212.7659574468085</v>
      </c>
      <c r="O90" s="19" t="s">
        <v>66</v>
      </c>
      <c r="P90" s="20" t="s">
        <v>57</v>
      </c>
      <c r="Q90" s="21">
        <v>240</v>
      </c>
      <c r="R90" s="19">
        <v>387</v>
      </c>
      <c r="S90" s="22">
        <v>0.16200000000000001</v>
      </c>
      <c r="T90" s="22">
        <v>8.7999999999999995E-2</v>
      </c>
      <c r="U90" s="19">
        <v>650</v>
      </c>
      <c r="V90" s="19">
        <v>0.89</v>
      </c>
      <c r="W90" s="19">
        <v>0.73</v>
      </c>
      <c r="X90" s="19" t="s">
        <v>142</v>
      </c>
      <c r="Y90" s="19">
        <v>0</v>
      </c>
      <c r="Z90" s="19">
        <v>0</v>
      </c>
      <c r="AA90" s="22">
        <v>0.64969999999999994</v>
      </c>
      <c r="AB90" s="20">
        <f t="shared" si="85"/>
        <v>251.43389999999997</v>
      </c>
      <c r="AC90" s="23">
        <f t="shared" si="86"/>
        <v>1</v>
      </c>
      <c r="AD90" s="20" t="str">
        <f t="shared" si="87"/>
        <v>YES</v>
      </c>
      <c r="AE90" s="22">
        <f t="shared" si="88"/>
        <v>10.689141758074523</v>
      </c>
      <c r="AF90" s="22">
        <f t="shared" si="89"/>
        <v>9.7174015982495671E-2</v>
      </c>
      <c r="AG90" s="19" t="str">
        <f t="shared" si="90"/>
        <v>YES</v>
      </c>
      <c r="AH90" s="22" t="str">
        <f t="shared" si="91"/>
        <v>NA</v>
      </c>
      <c r="AI90" s="22" t="str">
        <f t="shared" si="92"/>
        <v>NA</v>
      </c>
      <c r="AJ90" s="22" t="str">
        <f t="shared" si="93"/>
        <v>NA</v>
      </c>
      <c r="AK90" s="22" t="str">
        <f t="shared" si="94"/>
        <v>1R X 11kV X 3C X 240 Sqmm</v>
      </c>
      <c r="AL90" s="23">
        <f t="shared" si="95"/>
        <v>650</v>
      </c>
      <c r="AM90" s="31"/>
      <c r="AN90" s="30">
        <f t="shared" si="80"/>
        <v>2</v>
      </c>
      <c r="AO90" s="20"/>
    </row>
    <row r="91" spans="1:41" ht="39.950000000000003" customHeight="1">
      <c r="A91" s="58">
        <v>9</v>
      </c>
      <c r="B91" s="45" t="s">
        <v>95</v>
      </c>
      <c r="C91" s="19" t="s">
        <v>81</v>
      </c>
      <c r="D91" s="19">
        <v>2500</v>
      </c>
      <c r="E91" s="19"/>
      <c r="F91" s="19">
        <v>11</v>
      </c>
      <c r="G91" s="20">
        <v>0.77</v>
      </c>
      <c r="H91" s="20">
        <v>0.94499999999999995</v>
      </c>
      <c r="I91" s="20">
        <f t="shared" si="96"/>
        <v>131.21981944152844</v>
      </c>
      <c r="J91" s="20">
        <f t="shared" si="97"/>
        <v>0</v>
      </c>
      <c r="K91" s="20">
        <f t="shared" si="98"/>
        <v>0</v>
      </c>
      <c r="L91" s="20">
        <v>50</v>
      </c>
      <c r="M91" s="20">
        <v>0.16</v>
      </c>
      <c r="N91" s="20">
        <f t="shared" si="99"/>
        <v>212.7659574468085</v>
      </c>
      <c r="O91" s="19" t="s">
        <v>66</v>
      </c>
      <c r="P91" s="20" t="s">
        <v>57</v>
      </c>
      <c r="Q91" s="21">
        <v>240</v>
      </c>
      <c r="R91" s="19">
        <v>387</v>
      </c>
      <c r="S91" s="22">
        <v>0.16200000000000001</v>
      </c>
      <c r="T91" s="22">
        <v>8.7999999999999995E-2</v>
      </c>
      <c r="U91" s="19">
        <v>150</v>
      </c>
      <c r="V91" s="19">
        <v>0.89</v>
      </c>
      <c r="W91" s="19">
        <v>0.73</v>
      </c>
      <c r="X91" s="19" t="s">
        <v>142</v>
      </c>
      <c r="Y91" s="19">
        <v>0</v>
      </c>
      <c r="Z91" s="19">
        <v>0</v>
      </c>
      <c r="AA91" s="22">
        <v>0.64969999999999994</v>
      </c>
      <c r="AB91" s="20">
        <f t="shared" si="85"/>
        <v>251.43389999999997</v>
      </c>
      <c r="AC91" s="23">
        <f t="shared" si="86"/>
        <v>1</v>
      </c>
      <c r="AD91" s="20" t="str">
        <f t="shared" si="87"/>
        <v>YES</v>
      </c>
      <c r="AE91" s="22">
        <f t="shared" si="88"/>
        <v>6.166812552735303</v>
      </c>
      <c r="AF91" s="22">
        <f t="shared" si="89"/>
        <v>5.606193229759366E-2</v>
      </c>
      <c r="AG91" s="19" t="str">
        <f t="shared" si="90"/>
        <v>YES</v>
      </c>
      <c r="AH91" s="22" t="str">
        <f t="shared" si="91"/>
        <v>NA</v>
      </c>
      <c r="AI91" s="22" t="str">
        <f t="shared" si="92"/>
        <v>NA</v>
      </c>
      <c r="AJ91" s="22" t="str">
        <f t="shared" si="93"/>
        <v>NA</v>
      </c>
      <c r="AK91" s="22" t="str">
        <f t="shared" si="94"/>
        <v>1R X 11kV X 3C X 240 Sqmm</v>
      </c>
      <c r="AL91" s="23">
        <f t="shared" si="95"/>
        <v>150</v>
      </c>
      <c r="AM91" s="31"/>
      <c r="AN91" s="30">
        <f t="shared" si="80"/>
        <v>2</v>
      </c>
      <c r="AO91" s="20"/>
    </row>
    <row r="92" spans="1:41" ht="39.950000000000003" customHeight="1">
      <c r="A92" s="58">
        <v>10</v>
      </c>
      <c r="B92" s="45" t="s">
        <v>93</v>
      </c>
      <c r="C92" s="19" t="s">
        <v>81</v>
      </c>
      <c r="D92" s="19">
        <v>14000</v>
      </c>
      <c r="E92" s="19"/>
      <c r="F92" s="19">
        <v>11</v>
      </c>
      <c r="G92" s="20">
        <v>0.88</v>
      </c>
      <c r="H92" s="20">
        <v>0.95</v>
      </c>
      <c r="I92" s="20">
        <f t="shared" si="96"/>
        <v>734.83098887255937</v>
      </c>
      <c r="J92" s="20">
        <f t="shared" si="97"/>
        <v>0</v>
      </c>
      <c r="K92" s="20">
        <f t="shared" si="98"/>
        <v>0</v>
      </c>
      <c r="L92" s="20">
        <v>50</v>
      </c>
      <c r="M92" s="20">
        <v>0.16</v>
      </c>
      <c r="N92" s="20">
        <f t="shared" si="99"/>
        <v>212.7659574468085</v>
      </c>
      <c r="O92" s="19" t="s">
        <v>66</v>
      </c>
      <c r="P92" s="20" t="s">
        <v>56</v>
      </c>
      <c r="Q92" s="21">
        <v>400</v>
      </c>
      <c r="R92" s="19">
        <v>575</v>
      </c>
      <c r="S92" s="22">
        <v>0.1018</v>
      </c>
      <c r="T92" s="22">
        <v>9.3700000000000006E-2</v>
      </c>
      <c r="U92" s="19">
        <v>600</v>
      </c>
      <c r="V92" s="19">
        <v>0.89</v>
      </c>
      <c r="W92" s="19">
        <v>0.78</v>
      </c>
      <c r="X92" s="19" t="s">
        <v>142</v>
      </c>
      <c r="Y92" s="19">
        <v>0</v>
      </c>
      <c r="Z92" s="19">
        <v>0</v>
      </c>
      <c r="AA92" s="22">
        <v>0.69420000000000004</v>
      </c>
      <c r="AB92" s="20">
        <f t="shared" si="85"/>
        <v>399.16500000000002</v>
      </c>
      <c r="AC92" s="23">
        <f t="shared" si="86"/>
        <v>2</v>
      </c>
      <c r="AD92" s="20" t="str">
        <f t="shared" si="87"/>
        <v>YES</v>
      </c>
      <c r="AE92" s="22">
        <f t="shared" si="88"/>
        <v>51.199133081202511</v>
      </c>
      <c r="AF92" s="22">
        <f t="shared" si="89"/>
        <v>0.46544666437456828</v>
      </c>
      <c r="AG92" s="19" t="str">
        <f t="shared" si="90"/>
        <v>YES</v>
      </c>
      <c r="AH92" s="22" t="str">
        <f t="shared" si="91"/>
        <v>NA</v>
      </c>
      <c r="AI92" s="22" t="str">
        <f t="shared" si="92"/>
        <v>NA</v>
      </c>
      <c r="AJ92" s="22" t="str">
        <f t="shared" si="93"/>
        <v>NA</v>
      </c>
      <c r="AK92" s="22" t="str">
        <f t="shared" si="94"/>
        <v>2R X 11kV X 1C X 400 Sqmm</v>
      </c>
      <c r="AL92" s="23">
        <f t="shared" si="95"/>
        <v>3600</v>
      </c>
      <c r="AM92" s="31"/>
      <c r="AN92" s="30">
        <f t="shared" si="80"/>
        <v>4</v>
      </c>
      <c r="AO92" s="20"/>
    </row>
    <row r="93" spans="1:41" ht="39.950000000000003" customHeight="1">
      <c r="A93" s="58">
        <v>11</v>
      </c>
      <c r="B93" s="45" t="s">
        <v>94</v>
      </c>
      <c r="C93" s="19" t="s">
        <v>81</v>
      </c>
      <c r="D93" s="19">
        <v>14000</v>
      </c>
      <c r="E93" s="19"/>
      <c r="F93" s="19">
        <v>11</v>
      </c>
      <c r="G93" s="20">
        <v>0.75</v>
      </c>
      <c r="H93" s="20">
        <v>0.97</v>
      </c>
      <c r="I93" s="20">
        <f t="shared" si="96"/>
        <v>734.83098887255937</v>
      </c>
      <c r="J93" s="20">
        <f t="shared" si="97"/>
        <v>0</v>
      </c>
      <c r="K93" s="20">
        <f t="shared" si="98"/>
        <v>0</v>
      </c>
      <c r="L93" s="20">
        <v>50</v>
      </c>
      <c r="M93" s="20">
        <v>0.16</v>
      </c>
      <c r="N93" s="20">
        <f t="shared" si="99"/>
        <v>212.7659574468085</v>
      </c>
      <c r="O93" s="19" t="s">
        <v>66</v>
      </c>
      <c r="P93" s="20" t="s">
        <v>56</v>
      </c>
      <c r="Q93" s="21">
        <v>400</v>
      </c>
      <c r="R93" s="19">
        <v>575</v>
      </c>
      <c r="S93" s="22">
        <v>0.1018</v>
      </c>
      <c r="T93" s="22">
        <v>9.3700000000000006E-2</v>
      </c>
      <c r="U93" s="19">
        <v>450</v>
      </c>
      <c r="V93" s="19">
        <v>0.89</v>
      </c>
      <c r="W93" s="19">
        <v>0.78</v>
      </c>
      <c r="X93" s="19" t="s">
        <v>142</v>
      </c>
      <c r="Y93" s="19">
        <v>0</v>
      </c>
      <c r="Z93" s="19">
        <v>0</v>
      </c>
      <c r="AA93" s="22">
        <v>0.69420000000000004</v>
      </c>
      <c r="AB93" s="20">
        <f t="shared" si="85"/>
        <v>399.16500000000002</v>
      </c>
      <c r="AC93" s="23">
        <f t="shared" si="86"/>
        <v>2</v>
      </c>
      <c r="AD93" s="20" t="str">
        <f t="shared" si="87"/>
        <v>YES</v>
      </c>
      <c r="AE93" s="22">
        <f t="shared" si="88"/>
        <v>39.612905818733289</v>
      </c>
      <c r="AF93" s="22">
        <f t="shared" si="89"/>
        <v>0.36011732562484811</v>
      </c>
      <c r="AG93" s="19" t="str">
        <f t="shared" si="90"/>
        <v>YES</v>
      </c>
      <c r="AH93" s="22" t="str">
        <f t="shared" si="91"/>
        <v>NA</v>
      </c>
      <c r="AI93" s="22" t="str">
        <f t="shared" si="92"/>
        <v>NA</v>
      </c>
      <c r="AJ93" s="22" t="str">
        <f t="shared" si="93"/>
        <v>NA</v>
      </c>
      <c r="AK93" s="22" t="str">
        <f t="shared" si="94"/>
        <v>2R X 11kV X 1C X 400 Sqmm</v>
      </c>
      <c r="AL93" s="23">
        <f t="shared" si="95"/>
        <v>2700</v>
      </c>
      <c r="AM93" s="31"/>
      <c r="AN93" s="30">
        <f t="shared" si="80"/>
        <v>4</v>
      </c>
      <c r="AO93" s="20"/>
    </row>
    <row r="94" spans="1:41" ht="39.950000000000003" customHeight="1">
      <c r="A94" s="58">
        <v>12</v>
      </c>
      <c r="B94" s="45" t="s">
        <v>137</v>
      </c>
      <c r="C94" s="19" t="s">
        <v>81</v>
      </c>
      <c r="D94" s="19">
        <v>20000</v>
      </c>
      <c r="E94" s="19"/>
      <c r="F94" s="19">
        <v>11</v>
      </c>
      <c r="G94" s="20">
        <v>0.83</v>
      </c>
      <c r="H94" s="20">
        <v>0.93</v>
      </c>
      <c r="I94" s="20">
        <f t="shared" si="96"/>
        <v>1049.7585555322275</v>
      </c>
      <c r="J94" s="20">
        <f t="shared" si="97"/>
        <v>0</v>
      </c>
      <c r="K94" s="20">
        <f t="shared" si="98"/>
        <v>0</v>
      </c>
      <c r="L94" s="20">
        <v>50</v>
      </c>
      <c r="M94" s="20">
        <v>0.16</v>
      </c>
      <c r="N94" s="20">
        <f t="shared" si="99"/>
        <v>212.7659574468085</v>
      </c>
      <c r="O94" s="19" t="s">
        <v>66</v>
      </c>
      <c r="P94" s="20" t="s">
        <v>56</v>
      </c>
      <c r="Q94" s="21">
        <v>400</v>
      </c>
      <c r="R94" s="19">
        <v>575</v>
      </c>
      <c r="S94" s="22">
        <v>0.1018</v>
      </c>
      <c r="T94" s="22">
        <v>9.3700000000000006E-2</v>
      </c>
      <c r="U94" s="19">
        <v>490</v>
      </c>
      <c r="V94" s="19">
        <v>0.89</v>
      </c>
      <c r="W94" s="19">
        <v>0.78</v>
      </c>
      <c r="X94" s="19" t="s">
        <v>142</v>
      </c>
      <c r="Y94" s="19">
        <v>0</v>
      </c>
      <c r="Z94" s="19">
        <v>0</v>
      </c>
      <c r="AA94" s="22">
        <v>0.69420000000000004</v>
      </c>
      <c r="AB94" s="20">
        <f t="shared" si="85"/>
        <v>399.16500000000002</v>
      </c>
      <c r="AC94" s="23">
        <f t="shared" si="86"/>
        <v>3</v>
      </c>
      <c r="AD94" s="20" t="str">
        <f t="shared" si="87"/>
        <v>YES</v>
      </c>
      <c r="AE94" s="22">
        <f t="shared" si="88"/>
        <v>40.61370684196303</v>
      </c>
      <c r="AF94" s="22">
        <f t="shared" si="89"/>
        <v>0.36921551674511843</v>
      </c>
      <c r="AG94" s="19" t="str">
        <f t="shared" si="90"/>
        <v>YES</v>
      </c>
      <c r="AH94" s="22" t="str">
        <f t="shared" si="91"/>
        <v>NA</v>
      </c>
      <c r="AI94" s="22" t="str">
        <f t="shared" si="92"/>
        <v>NA</v>
      </c>
      <c r="AJ94" s="22" t="str">
        <f t="shared" si="93"/>
        <v>NA</v>
      </c>
      <c r="AK94" s="22" t="str">
        <f t="shared" si="94"/>
        <v>3R X 11kV X 1C X 400 Sqmm</v>
      </c>
      <c r="AL94" s="23">
        <f t="shared" si="95"/>
        <v>4410</v>
      </c>
      <c r="AM94" s="31"/>
      <c r="AN94" s="30">
        <f t="shared" si="80"/>
        <v>6</v>
      </c>
      <c r="AO94" s="20"/>
    </row>
    <row r="95" spans="1:41" ht="39.950000000000003" customHeight="1">
      <c r="A95" s="139">
        <v>13</v>
      </c>
      <c r="B95" s="77" t="s">
        <v>136</v>
      </c>
      <c r="C95" s="53" t="s">
        <v>81</v>
      </c>
      <c r="D95" s="53">
        <v>2500</v>
      </c>
      <c r="E95" s="53"/>
      <c r="F95" s="53">
        <v>11</v>
      </c>
      <c r="G95" s="54">
        <v>0.83</v>
      </c>
      <c r="H95" s="54">
        <v>0.93</v>
      </c>
      <c r="I95" s="54">
        <f t="shared" si="96"/>
        <v>131.21981944152844</v>
      </c>
      <c r="J95" s="54">
        <f t="shared" si="97"/>
        <v>0</v>
      </c>
      <c r="K95" s="54">
        <f t="shared" si="98"/>
        <v>0</v>
      </c>
      <c r="L95" s="54">
        <v>50</v>
      </c>
      <c r="M95" s="54">
        <v>0.16</v>
      </c>
      <c r="N95" s="54">
        <f t="shared" si="99"/>
        <v>212.7659574468085</v>
      </c>
      <c r="O95" s="53" t="s">
        <v>66</v>
      </c>
      <c r="P95" s="54" t="s">
        <v>57</v>
      </c>
      <c r="Q95" s="55">
        <v>240</v>
      </c>
      <c r="R95" s="53">
        <v>387</v>
      </c>
      <c r="S95" s="56">
        <v>0.16200000000000001</v>
      </c>
      <c r="T95" s="56">
        <v>8.7999999999999995E-2</v>
      </c>
      <c r="U95" s="53">
        <v>2000</v>
      </c>
      <c r="V95" s="53">
        <v>0.89</v>
      </c>
      <c r="W95" s="53">
        <v>0.73</v>
      </c>
      <c r="X95" s="53" t="s">
        <v>142</v>
      </c>
      <c r="Y95" s="53">
        <v>0</v>
      </c>
      <c r="Z95" s="53">
        <v>0</v>
      </c>
      <c r="AA95" s="56">
        <v>0.64969999999999994</v>
      </c>
      <c r="AB95" s="54">
        <f t="shared" si="85"/>
        <v>251.43389999999997</v>
      </c>
      <c r="AC95" s="57">
        <f>ROUNDUP(((I95)/AB95),0)</f>
        <v>1</v>
      </c>
      <c r="AD95" s="54" t="str">
        <f>IF(AB95*AC95&gt;=I95,"YES","NO")</f>
        <v>YES</v>
      </c>
      <c r="AE95" s="56">
        <f>IF(C95="M",(SQRT(3)*I95*(U95/1000)*((S95/AC95)*G95+(T95/AC95)*SIN(ACOS(G95)))),(SQRT(3)*I95*(U95/1000)*((S95/AC95)*G95+(T95/AC95)*SIN(ACOS(G95)))))</f>
        <v>83.431164796059107</v>
      </c>
      <c r="AF95" s="56">
        <f t="shared" si="89"/>
        <v>0.75846513450962827</v>
      </c>
      <c r="AG95" s="53" t="str">
        <f t="shared" si="90"/>
        <v>YES</v>
      </c>
      <c r="AH95" s="56" t="str">
        <f>IF(C95="M",(SQRT(3)*J95*(U95/1000)*((S95/AC95)*K95+(T95/AC95)*SIN(ACOS(K95)))),"NA")</f>
        <v>NA</v>
      </c>
      <c r="AI95" s="56" t="str">
        <f t="shared" si="92"/>
        <v>NA</v>
      </c>
      <c r="AJ95" s="56" t="str">
        <f t="shared" si="93"/>
        <v>NA</v>
      </c>
      <c r="AK95" s="56" t="str">
        <f>IF(C95="M",IF(AND(Q95&gt;=N95,AD95="YES",AG95="YES",AJ95="YES"),CONCATENATE(AC95,"R X ",F95,"kV X ",P95," X ",Q95," Sqmm"),"Cable size is not correct"),IF(AND(Q95&gt;=N95,AD95="YES",AG95="YES",AJ95="NA"),CONCATENATE(AC95,"R X ",F95,"kV X ",P95," X ",Q95," Sqmm"),"Cable size is not correct"))</f>
        <v>1R X 11kV X 3C X 240 Sqmm</v>
      </c>
      <c r="AL95" s="57">
        <f>IF(P95="1C",3*U95*AC95,U95*AC95)</f>
        <v>2000</v>
      </c>
      <c r="AM95" s="79"/>
      <c r="AN95" s="92">
        <f>AC95*2</f>
        <v>2</v>
      </c>
      <c r="AO95" s="54"/>
    </row>
    <row r="96" spans="1:41" s="1" customFormat="1" ht="39.950000000000003" customHeight="1">
      <c r="A96" s="100">
        <v>14</v>
      </c>
      <c r="B96" s="45" t="s">
        <v>169</v>
      </c>
      <c r="C96" s="19" t="s">
        <v>81</v>
      </c>
      <c r="D96" s="1">
        <v>6500</v>
      </c>
      <c r="F96" s="19">
        <v>11</v>
      </c>
      <c r="G96" s="20">
        <v>0.83</v>
      </c>
      <c r="H96" s="20">
        <v>0.93</v>
      </c>
      <c r="I96" s="20">
        <f t="shared" si="96"/>
        <v>341.17153054797399</v>
      </c>
      <c r="J96" s="20">
        <f t="shared" si="97"/>
        <v>0</v>
      </c>
      <c r="K96" s="20">
        <f t="shared" si="98"/>
        <v>0</v>
      </c>
      <c r="L96" s="20">
        <v>50</v>
      </c>
      <c r="M96" s="20">
        <v>0.16</v>
      </c>
      <c r="N96" s="20">
        <f t="shared" si="99"/>
        <v>212.7659574468085</v>
      </c>
      <c r="O96" s="19" t="s">
        <v>66</v>
      </c>
      <c r="P96" s="20" t="s">
        <v>56</v>
      </c>
      <c r="Q96" s="21">
        <v>400</v>
      </c>
      <c r="R96" s="19">
        <v>387</v>
      </c>
      <c r="S96" s="22">
        <v>0.16200000000000001</v>
      </c>
      <c r="T96" s="22">
        <v>8.7999999999999995E-2</v>
      </c>
      <c r="U96" s="19">
        <v>2000</v>
      </c>
      <c r="V96" s="19">
        <v>0.89</v>
      </c>
      <c r="W96" s="19">
        <v>0.73</v>
      </c>
      <c r="X96" s="19" t="s">
        <v>142</v>
      </c>
      <c r="Y96" s="19">
        <v>0</v>
      </c>
      <c r="Z96" s="19">
        <v>0</v>
      </c>
      <c r="AA96" s="22">
        <v>0.64969999999999994</v>
      </c>
      <c r="AB96" s="20">
        <f t="shared" si="85"/>
        <v>251.43389999999997</v>
      </c>
      <c r="AC96" s="23">
        <f>ROUNDUP(((I96)/AB96),0)</f>
        <v>2</v>
      </c>
      <c r="AD96" s="20" t="str">
        <f>IF(AB96*AC96&gt;=I96,"YES","NO")</f>
        <v>YES</v>
      </c>
      <c r="AE96" s="22">
        <f>IF(C96="M",(SQRT(3)*I96*(U96/1000)*((S96/AC96)*G96+(T96/AC96)*SIN(ACOS(G96)))),(SQRT(3)*I96*(U96/1000)*((S96/AC96)*G96+(T96/AC96)*SIN(ACOS(G96)))))</f>
        <v>108.46051423487684</v>
      </c>
      <c r="AF96" s="22">
        <f t="shared" si="89"/>
        <v>0.98600467486251675</v>
      </c>
      <c r="AG96" s="19" t="str">
        <f t="shared" si="90"/>
        <v>YES</v>
      </c>
      <c r="AH96" s="22" t="str">
        <f>IF(C96="M",(SQRT(3)*J96*(U96/1000)*((S96/AC96)*K96+(T96/AC96)*SIN(ACOS(K96)))),"NA")</f>
        <v>NA</v>
      </c>
      <c r="AI96" s="22" t="str">
        <f t="shared" si="92"/>
        <v>NA</v>
      </c>
      <c r="AJ96" s="22" t="str">
        <f t="shared" si="93"/>
        <v>NA</v>
      </c>
      <c r="AK96" s="22" t="str">
        <f>IF(C96="M",IF(AND(Q96&gt;=N96,AD96="YES",AG96="YES",AJ96="YES"),CONCATENATE(AC96,"R X ",F96,"kV X ",P96," X ",Q96," Sqmm"),"Cable size is not correct"),IF(AND(Q96&gt;=N96,AD96="YES",AG96="YES",AJ96="NA"),CONCATENATE(AC96,"R X ",F96,"kV X ",P96," X ",Q96," Sqmm"),"Cable size is not correct"))</f>
        <v>2R X 11kV X 1C X 400 Sqmm</v>
      </c>
      <c r="AL96" s="23">
        <f>IF(P96="1C",3*U96*AC96,U96*AC96)</f>
        <v>12000</v>
      </c>
    </row>
    <row r="97" spans="1:46" ht="39.950000000000003" customHeight="1">
      <c r="I97" s="2"/>
      <c r="AB97" s="2"/>
      <c r="AK97" s="13"/>
    </row>
    <row r="98" spans="1:46" ht="39.950000000000003" customHeight="1">
      <c r="AK98" s="13"/>
    </row>
    <row r="99" spans="1:46" ht="39.950000000000003" customHeight="1">
      <c r="AK99" s="14"/>
    </row>
    <row r="100" spans="1:46" ht="39.950000000000003" customHeight="1">
      <c r="AK100" s="13"/>
    </row>
    <row r="101" spans="1:46" ht="39.950000000000003" customHeight="1">
      <c r="AK101" s="13"/>
    </row>
    <row r="102" spans="1:46" ht="39.950000000000003" customHeight="1">
      <c r="AK102" s="13"/>
    </row>
    <row r="103" spans="1:46" ht="20.100000000000001" customHeight="1">
      <c r="A103" s="2"/>
      <c r="AK103" s="14"/>
    </row>
    <row r="104" spans="1:46" ht="22.5" customHeight="1">
      <c r="A104" s="2"/>
    </row>
    <row r="105" spans="1:46" ht="22.5" customHeight="1">
      <c r="A105" s="2"/>
    </row>
    <row r="106" spans="1:46" ht="22.5" customHeight="1">
      <c r="A106" s="2"/>
    </row>
    <row r="107" spans="1:46" ht="22.5" customHeight="1">
      <c r="A107" s="2"/>
    </row>
    <row r="108" spans="1:46" ht="22.5" customHeight="1">
      <c r="A108" s="2"/>
    </row>
    <row r="109" spans="1:46" ht="22.5" customHeight="1">
      <c r="A109" s="2"/>
    </row>
    <row r="110" spans="1:46" ht="22.5" customHeight="1">
      <c r="A110" s="2"/>
    </row>
    <row r="111" spans="1:46" ht="22.5" customHeight="1">
      <c r="A111" s="2"/>
      <c r="AL111" s="5"/>
    </row>
    <row r="112" spans="1:46">
      <c r="AR112" t="s">
        <v>107</v>
      </c>
      <c r="AS112" t="s">
        <v>111</v>
      </c>
      <c r="AT112"/>
    </row>
    <row r="113" spans="44:46">
      <c r="AR113" s="35" t="s">
        <v>108</v>
      </c>
      <c r="AS113">
        <v>26400</v>
      </c>
      <c r="AT113"/>
    </row>
    <row r="114" spans="44:46">
      <c r="AR114" s="35" t="s">
        <v>109</v>
      </c>
      <c r="AS114">
        <v>17100</v>
      </c>
      <c r="AT114"/>
    </row>
    <row r="115" spans="44:46">
      <c r="AR115" s="35" t="s">
        <v>110</v>
      </c>
      <c r="AS115">
        <v>43500</v>
      </c>
      <c r="AT115"/>
    </row>
    <row r="116" spans="44:46">
      <c r="AR116"/>
      <c r="AS116"/>
      <c r="AT116"/>
    </row>
    <row r="117" spans="44:46">
      <c r="AR117"/>
      <c r="AS117"/>
      <c r="AT117"/>
    </row>
    <row r="118" spans="44:46">
      <c r="AR118"/>
      <c r="AS118"/>
      <c r="AT118"/>
    </row>
    <row r="119" spans="44:46">
      <c r="AR119"/>
      <c r="AS119"/>
      <c r="AT119"/>
    </row>
    <row r="120" spans="44:46">
      <c r="AR120"/>
      <c r="AS120"/>
      <c r="AT120"/>
    </row>
    <row r="121" spans="44:46">
      <c r="AR121"/>
      <c r="AS121"/>
      <c r="AT121"/>
    </row>
    <row r="122" spans="44:46">
      <c r="AR122"/>
      <c r="AS122"/>
      <c r="AT122"/>
    </row>
    <row r="123" spans="44:46">
      <c r="AR123"/>
      <c r="AS123"/>
      <c r="AT123"/>
    </row>
    <row r="124" spans="44:46">
      <c r="AR124"/>
      <c r="AS124"/>
      <c r="AT124"/>
    </row>
    <row r="125" spans="44:46">
      <c r="AR125"/>
      <c r="AS125"/>
      <c r="AT125"/>
    </row>
    <row r="126" spans="44:46">
      <c r="AR126"/>
      <c r="AS126"/>
      <c r="AT126"/>
    </row>
    <row r="127" spans="44:46">
      <c r="AR127"/>
      <c r="AS127"/>
      <c r="AT127"/>
    </row>
    <row r="128" spans="44:46">
      <c r="AR128"/>
      <c r="AS128"/>
      <c r="AT128"/>
    </row>
    <row r="129" spans="44:46">
      <c r="AR129"/>
      <c r="AS129"/>
      <c r="AT129"/>
    </row>
  </sheetData>
  <autoFilter ref="A6:AL95" xr:uid="{00000000-0009-0000-0000-000000000000}"/>
  <mergeCells count="30">
    <mergeCell ref="AH3:AJ3"/>
    <mergeCell ref="AK3:AK5"/>
    <mergeCell ref="AL3:AL5"/>
    <mergeCell ref="AM3:AM5"/>
    <mergeCell ref="AD4:AD5"/>
    <mergeCell ref="AE4:AE5"/>
    <mergeCell ref="AF4:AF5"/>
    <mergeCell ref="V3:AD3"/>
    <mergeCell ref="AE3:AG3"/>
    <mergeCell ref="D4:E4"/>
    <mergeCell ref="O4:O5"/>
    <mergeCell ref="P4:P5"/>
    <mergeCell ref="V4:AA4"/>
    <mergeCell ref="AC4:AC5"/>
    <mergeCell ref="AL1:AM2"/>
    <mergeCell ref="AN1:AO2"/>
    <mergeCell ref="C2:AK2"/>
    <mergeCell ref="A3:A5"/>
    <mergeCell ref="B3:B5"/>
    <mergeCell ref="C3:K3"/>
    <mergeCell ref="L3:N3"/>
    <mergeCell ref="P3:U3"/>
    <mergeCell ref="AG4:AG5"/>
    <mergeCell ref="AH4:AH5"/>
    <mergeCell ref="AI4:AI5"/>
    <mergeCell ref="AJ4:AJ5"/>
    <mergeCell ref="A1:B2"/>
    <mergeCell ref="C1:AK1"/>
    <mergeCell ref="AN3:AN5"/>
    <mergeCell ref="AO3:AO5"/>
  </mergeCells>
  <phoneticPr fontId="15" type="noConversion"/>
  <dataValidations count="9">
    <dataValidation type="list" allowBlank="1" showInputMessage="1" showErrorMessage="1" sqref="Q6:Q7" xr:uid="{50CAF7C8-E5D6-41C1-90E7-25FFE6068609}">
      <formula1>$AS$4:$AS$87</formula1>
    </dataValidation>
    <dataValidation type="list" allowBlank="1" showInputMessage="1" showErrorMessage="1" sqref="C36 C51 C22 C6:C7" xr:uid="{6B242040-4AB2-4EC7-A3A4-8C0CC6ECBE78}">
      <formula1>$AR$23:$AR$87</formula1>
    </dataValidation>
    <dataValidation type="list" allowBlank="1" showInputMessage="1" showErrorMessage="1" sqref="AQ105 C66:C81 C52:C64 C37:C50 C23:C35 C8:C21 C83:C96" xr:uid="{FB5B19AC-55BB-496C-A1F1-231A55D591C7}">
      <formula1>$AQ$105:$AQ$106</formula1>
    </dataValidation>
    <dataValidation type="list" allowBlank="1" showInputMessage="1" showErrorMessage="1" sqref="C65 C67:C96" xr:uid="{70FCE94A-7BD4-4847-A211-26E0C063B00D}">
      <formula1>#REF!</formula1>
    </dataValidation>
    <dataValidation type="list" allowBlank="1" showInputMessage="1" showErrorMessage="1" sqref="O6:O7" xr:uid="{DAB68D01-7553-40F5-8DD5-F1A2F74C0C39}">
      <formula1>$AP$7:$AR$7</formula1>
    </dataValidation>
    <dataValidation type="list" allowBlank="1" showInputMessage="1" showErrorMessage="1" sqref="P6:P7" xr:uid="{D74C0BA5-DD71-4470-AC9B-47C4D0F6518B}">
      <formula1>$AR$4:$AR$6</formula1>
    </dataValidation>
    <dataValidation type="list" allowBlank="1" showInputMessage="1" showErrorMessage="1" sqref="O8:O96" xr:uid="{187D2721-7450-4072-BDE6-723CD2C0F1E5}">
      <formula1>$AQ$4:$AQ$7</formula1>
    </dataValidation>
    <dataValidation type="list" allowBlank="1" showInputMessage="1" showErrorMessage="1" sqref="P8:P96" xr:uid="{3C863210-DD3B-48DB-B0DE-B5BC901AEADE}">
      <formula1>$AR$4:$AR$5</formula1>
    </dataValidation>
    <dataValidation type="list" allowBlank="1" showInputMessage="1" showErrorMessage="1" sqref="Q8:Q96" xr:uid="{8B16F8A9-D34E-4F29-845A-735689E9E640}">
      <formula1>$AS$4:$AS$9</formula1>
    </dataValidation>
  </dataValidations>
  <printOptions horizontalCentered="1"/>
  <pageMargins left="0.17" right="0.17" top="0.96" bottom="1.03" header="0.5" footer="0.5"/>
  <pageSetup paperSize="8" scale="41" fitToHeight="0" orientation="landscape" r:id="rId2"/>
  <headerFooter alignWithMargins="0"/>
  <rowBreaks count="2" manualBreakCount="2">
    <brk id="35" max="38" man="1"/>
    <brk id="64" max="38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4C24-779F-49F6-B107-FC3A4E3B8E4F}">
  <dimension ref="A1:J87"/>
  <sheetViews>
    <sheetView view="pageBreakPreview" zoomScaleNormal="100" zoomScaleSheetLayoutView="100" workbookViewId="0">
      <selection activeCell="C16" sqref="C16"/>
    </sheetView>
  </sheetViews>
  <sheetFormatPr defaultRowHeight="12.75"/>
  <cols>
    <col min="2" max="2" width="12.28515625" bestFit="1" customWidth="1"/>
    <col min="3" max="3" width="22.7109375" bestFit="1" customWidth="1"/>
    <col min="5" max="5" width="11.140625" bestFit="1" customWidth="1"/>
    <col min="6" max="6" width="13.7109375" customWidth="1"/>
    <col min="9" max="9" width="14.42578125" customWidth="1"/>
    <col min="10" max="10" width="12.5703125" customWidth="1"/>
  </cols>
  <sheetData>
    <row r="1" spans="1:10">
      <c r="A1" s="164" t="s">
        <v>112</v>
      </c>
      <c r="B1" s="164"/>
      <c r="C1" s="164"/>
      <c r="D1" s="164"/>
      <c r="E1" s="164"/>
    </row>
    <row r="2" spans="1:10" ht="25.5">
      <c r="A2" s="36" t="s">
        <v>113</v>
      </c>
      <c r="B2" s="36" t="s">
        <v>114</v>
      </c>
      <c r="C2" s="36" t="s">
        <v>115</v>
      </c>
      <c r="D2" s="37" t="s">
        <v>116</v>
      </c>
      <c r="E2" s="36" t="s">
        <v>117</v>
      </c>
      <c r="F2" s="37" t="s">
        <v>141</v>
      </c>
      <c r="I2" s="49" t="str">
        <f>_xlfn.CONCAT('HT Cable'!P8," X ",'HT Cable'!Q8)</f>
        <v>3C X 240</v>
      </c>
      <c r="J2" s="50">
        <f>'HT Cable'!AL8</f>
        <v>475</v>
      </c>
    </row>
    <row r="3" spans="1:10">
      <c r="A3" s="38">
        <v>1</v>
      </c>
      <c r="B3" s="38" t="s">
        <v>74</v>
      </c>
      <c r="C3" s="39">
        <f ca="1">SUMIF(I2:J87,B3,J2)</f>
        <v>27560</v>
      </c>
      <c r="D3" s="39">
        <f ca="1">C3*0.1</f>
        <v>2756</v>
      </c>
      <c r="E3" s="39">
        <f ca="1">C3+D3</f>
        <v>30316</v>
      </c>
      <c r="F3" s="101">
        <v>40000</v>
      </c>
      <c r="I3" s="49" t="str">
        <f>_xlfn.CONCAT('HT Cable'!P9," X ",'HT Cable'!Q9)</f>
        <v>3C X 300</v>
      </c>
      <c r="J3" s="50">
        <f>'HT Cable'!AL9</f>
        <v>500</v>
      </c>
    </row>
    <row r="4" spans="1:10">
      <c r="A4" s="38">
        <v>2</v>
      </c>
      <c r="B4" s="38" t="s">
        <v>118</v>
      </c>
      <c r="C4" s="39">
        <f t="shared" ref="C4:C5" ca="1" si="0">SUMIF(I3:J88,B4,J3)</f>
        <v>2000</v>
      </c>
      <c r="D4" s="39">
        <f ca="1">C4*0.1</f>
        <v>200</v>
      </c>
      <c r="E4" s="39">
        <f ca="1">C4+D4</f>
        <v>2200</v>
      </c>
      <c r="F4" s="101">
        <v>2500</v>
      </c>
      <c r="I4" s="49" t="str">
        <f>_xlfn.CONCAT('HT Cable'!P10," X ",'HT Cable'!Q10)</f>
        <v>1C X 300</v>
      </c>
      <c r="J4" s="50">
        <f>'HT Cable'!AL10</f>
        <v>4500</v>
      </c>
    </row>
    <row r="5" spans="1:10">
      <c r="A5" s="38">
        <v>3</v>
      </c>
      <c r="B5" s="97" t="s">
        <v>119</v>
      </c>
      <c r="C5" s="39">
        <f t="shared" ca="1" si="0"/>
        <v>49590</v>
      </c>
      <c r="D5" s="39">
        <f ca="1">C5*0.1</f>
        <v>4959</v>
      </c>
      <c r="E5" s="39">
        <f ca="1">C5+D5</f>
        <v>54549</v>
      </c>
      <c r="F5" s="101">
        <v>70000</v>
      </c>
      <c r="I5" s="49" t="str">
        <f>_xlfn.CONCAT('HT Cable'!P11," X ",'HT Cable'!Q11)</f>
        <v>1C X 300</v>
      </c>
      <c r="J5" s="50">
        <f>'HT Cable'!AL11</f>
        <v>2460</v>
      </c>
    </row>
    <row r="6" spans="1:10">
      <c r="A6" s="38"/>
      <c r="B6" s="38"/>
      <c r="C6" s="38"/>
      <c r="D6" s="38"/>
      <c r="E6" s="38"/>
      <c r="F6" s="96"/>
      <c r="I6" s="49" t="str">
        <f>_xlfn.CONCAT('HT Cable'!P12," X ",'HT Cable'!Q12)</f>
        <v>1C X 400</v>
      </c>
      <c r="J6" s="50">
        <f>'HT Cable'!AL12</f>
        <v>765</v>
      </c>
    </row>
    <row r="7" spans="1:10">
      <c r="I7" s="49" t="str">
        <f>_xlfn.CONCAT('HT Cable'!P13," X ",'HT Cable'!Q13)</f>
        <v>3C X 240</v>
      </c>
      <c r="J7" s="50">
        <f>'HT Cable'!AL13</f>
        <v>460</v>
      </c>
    </row>
    <row r="8" spans="1:10">
      <c r="I8" s="49" t="str">
        <f>_xlfn.CONCAT('HT Cable'!P14," X ",'HT Cable'!Q14)</f>
        <v>3C X 240</v>
      </c>
      <c r="J8" s="50">
        <f>'HT Cable'!AL14</f>
        <v>470</v>
      </c>
    </row>
    <row r="9" spans="1:10">
      <c r="I9" s="49" t="str">
        <f>_xlfn.CONCAT('HT Cable'!P15," X ",'HT Cable'!Q15)</f>
        <v>3C X 240</v>
      </c>
      <c r="J9" s="50">
        <f>'HT Cable'!AL15</f>
        <v>460</v>
      </c>
    </row>
    <row r="10" spans="1:10">
      <c r="I10" s="49" t="str">
        <f>_xlfn.CONCAT('HT Cable'!P16," X ",'HT Cable'!Q16)</f>
        <v>3C X 240</v>
      </c>
      <c r="J10" s="50">
        <f>'HT Cable'!AL16</f>
        <v>490</v>
      </c>
    </row>
    <row r="11" spans="1:10">
      <c r="I11" s="49" t="str">
        <f>_xlfn.CONCAT('HT Cable'!P17," X ",'HT Cable'!Q17)</f>
        <v>3C X 240</v>
      </c>
      <c r="J11" s="50">
        <f>'HT Cable'!AL17</f>
        <v>490</v>
      </c>
    </row>
    <row r="12" spans="1:10">
      <c r="I12" s="49" t="str">
        <f>_xlfn.CONCAT('HT Cable'!P18," X ",'HT Cable'!Q18)</f>
        <v>3C X 240</v>
      </c>
      <c r="J12" s="50">
        <f>'HT Cable'!AL18</f>
        <v>490</v>
      </c>
    </row>
    <row r="13" spans="1:10">
      <c r="I13" s="49" t="str">
        <f>_xlfn.CONCAT('HT Cable'!P19," X ",'HT Cable'!Q19)</f>
        <v>3C X 240</v>
      </c>
      <c r="J13" s="50">
        <f>'HT Cable'!AL19</f>
        <v>1100</v>
      </c>
    </row>
    <row r="14" spans="1:10">
      <c r="I14" s="49" t="str">
        <f>_xlfn.CONCAT('HT Cable'!P20," X ",'HT Cable'!Q20)</f>
        <v>1C X 400</v>
      </c>
      <c r="J14" s="50">
        <f>'HT Cable'!AL20</f>
        <v>1080</v>
      </c>
    </row>
    <row r="15" spans="1:10">
      <c r="I15" s="49" t="str">
        <f>_xlfn.CONCAT('HT Cable'!P21," X ",'HT Cable'!Q21)</f>
        <v xml:space="preserve"> X </v>
      </c>
      <c r="J15" s="50">
        <f>'HT Cable'!AL21</f>
        <v>0</v>
      </c>
    </row>
    <row r="16" spans="1:10">
      <c r="I16" s="49" t="str">
        <f>_xlfn.CONCAT('HT Cable'!P22," X ",'HT Cable'!Q22)</f>
        <v xml:space="preserve"> X </v>
      </c>
      <c r="J16" s="50">
        <f>'HT Cable'!AL22</f>
        <v>0</v>
      </c>
    </row>
    <row r="17" spans="9:10">
      <c r="I17" s="49" t="str">
        <f>_xlfn.CONCAT('HT Cable'!P23," X ",'HT Cable'!Q23)</f>
        <v>3C X 240</v>
      </c>
      <c r="J17" s="50">
        <f>'HT Cable'!AL23</f>
        <v>475</v>
      </c>
    </row>
    <row r="18" spans="9:10">
      <c r="I18" s="49" t="str">
        <f>_xlfn.CONCAT('HT Cable'!P24," X ",'HT Cable'!Q24)</f>
        <v>3C X 300</v>
      </c>
      <c r="J18" s="50">
        <f>'HT Cable'!AL24</f>
        <v>500</v>
      </c>
    </row>
    <row r="19" spans="9:10">
      <c r="I19" s="49" t="str">
        <f>_xlfn.CONCAT('HT Cable'!P25," X ",'HT Cable'!Q25)</f>
        <v>1C X 300</v>
      </c>
      <c r="J19" s="50">
        <f>'HT Cable'!AL25</f>
        <v>4500</v>
      </c>
    </row>
    <row r="20" spans="9:10">
      <c r="I20" s="49" t="str">
        <f>_xlfn.CONCAT('HT Cable'!P26," X ",'HT Cable'!Q26)</f>
        <v>1C X 400</v>
      </c>
      <c r="J20" s="50">
        <f>'HT Cable'!AL26</f>
        <v>2460</v>
      </c>
    </row>
    <row r="21" spans="9:10">
      <c r="I21" s="49" t="str">
        <f>_xlfn.CONCAT('HT Cable'!P27," X ",'HT Cable'!Q27)</f>
        <v>1C X 400</v>
      </c>
      <c r="J21" s="50">
        <f>'HT Cable'!AL27</f>
        <v>1080</v>
      </c>
    </row>
    <row r="22" spans="9:10">
      <c r="I22" s="49" t="str">
        <f>_xlfn.CONCAT('HT Cable'!P29," X ",'HT Cable'!Q29)</f>
        <v>3C X 240</v>
      </c>
      <c r="J22" s="50">
        <f>'HT Cable'!AL29</f>
        <v>470</v>
      </c>
    </row>
    <row r="23" spans="9:10">
      <c r="I23" s="49" t="str">
        <f>_xlfn.CONCAT('HT Cable'!P30," X ",'HT Cable'!Q30)</f>
        <v>3C X 240</v>
      </c>
      <c r="J23" s="50">
        <f>'HT Cable'!AL30</f>
        <v>460</v>
      </c>
    </row>
    <row r="24" spans="9:10">
      <c r="I24" s="49" t="str">
        <f>_xlfn.CONCAT('HT Cable'!P31," X ",'HT Cable'!Q31)</f>
        <v>3C X 240</v>
      </c>
      <c r="J24" s="50">
        <f>'HT Cable'!AL31</f>
        <v>490</v>
      </c>
    </row>
    <row r="25" spans="9:10">
      <c r="I25" s="49" t="str">
        <f>_xlfn.CONCAT('HT Cable'!P32," X ",'HT Cable'!Q32)</f>
        <v>3C X 240</v>
      </c>
      <c r="J25" s="50">
        <f>'HT Cable'!AL32</f>
        <v>490</v>
      </c>
    </row>
    <row r="26" spans="9:10">
      <c r="I26" s="49" t="str">
        <f>_xlfn.CONCAT('HT Cable'!P33," X ",'HT Cable'!Q33)</f>
        <v>3C X 240</v>
      </c>
      <c r="J26" s="50">
        <f>'HT Cable'!AL33</f>
        <v>490</v>
      </c>
    </row>
    <row r="27" spans="9:10">
      <c r="I27" s="49" t="str">
        <f>_xlfn.CONCAT('HT Cable'!P34," X ",'HT Cable'!Q34)</f>
        <v>3C X 240</v>
      </c>
      <c r="J27" s="50">
        <f>'HT Cable'!AL34</f>
        <v>1100</v>
      </c>
    </row>
    <row r="28" spans="9:10">
      <c r="I28" s="49" t="str">
        <f>_xlfn.CONCAT('HT Cable'!P35," X ",'HT Cable'!Q35)</f>
        <v xml:space="preserve"> X </v>
      </c>
      <c r="J28" s="50">
        <f>'HT Cable'!AL35</f>
        <v>0</v>
      </c>
    </row>
    <row r="29" spans="9:10">
      <c r="I29" s="49" t="str">
        <f>_xlfn.CONCAT('HT Cable'!P36," X ",'HT Cable'!Q36)</f>
        <v xml:space="preserve"> X </v>
      </c>
      <c r="J29" s="50">
        <f>'HT Cable'!AL36</f>
        <v>0</v>
      </c>
    </row>
    <row r="30" spans="9:10">
      <c r="I30" s="49" t="str">
        <f>_xlfn.CONCAT('HT Cable'!P37," X ",'HT Cable'!Q37)</f>
        <v>3C X 240</v>
      </c>
      <c r="J30" s="50">
        <f>'HT Cable'!AL37</f>
        <v>475</v>
      </c>
    </row>
    <row r="31" spans="9:10">
      <c r="I31" s="49" t="str">
        <f>_xlfn.CONCAT('HT Cable'!P38," X ",'HT Cable'!Q38)</f>
        <v>3C X 300</v>
      </c>
      <c r="J31" s="50">
        <f>'HT Cable'!AL38</f>
        <v>500</v>
      </c>
    </row>
    <row r="32" spans="9:10">
      <c r="I32" s="49" t="str">
        <f>_xlfn.CONCAT('HT Cable'!P39," X ",'HT Cable'!Q39)</f>
        <v>1C X 300</v>
      </c>
      <c r="J32" s="50">
        <f>'HT Cable'!AL39</f>
        <v>4500</v>
      </c>
    </row>
    <row r="33" spans="9:10">
      <c r="I33" s="49" t="str">
        <f>_xlfn.CONCAT('HT Cable'!P40," X ",'HT Cable'!Q40)</f>
        <v>1C X 400</v>
      </c>
      <c r="J33" s="50">
        <f>'HT Cable'!AL40</f>
        <v>2460</v>
      </c>
    </row>
    <row r="34" spans="9:10">
      <c r="I34" s="49" t="str">
        <f>_xlfn.CONCAT('HT Cable'!P41," X ",'HT Cable'!Q41)</f>
        <v>1C X 400</v>
      </c>
      <c r="J34" s="50">
        <f>'HT Cable'!AL41</f>
        <v>765</v>
      </c>
    </row>
    <row r="35" spans="9:10">
      <c r="I35" s="49" t="str">
        <f>_xlfn.CONCAT('HT Cable'!P42," X ",'HT Cable'!Q42)</f>
        <v>3C X 240</v>
      </c>
      <c r="J35" s="50">
        <f>'HT Cable'!AL42</f>
        <v>470</v>
      </c>
    </row>
    <row r="36" spans="9:10">
      <c r="I36" s="49" t="str">
        <f>_xlfn.CONCAT('HT Cable'!P43," X ",'HT Cable'!Q43)</f>
        <v>3C X 240</v>
      </c>
      <c r="J36" s="50">
        <f>'HT Cable'!AL43</f>
        <v>470</v>
      </c>
    </row>
    <row r="37" spans="9:10">
      <c r="I37" s="49" t="str">
        <f>_xlfn.CONCAT('HT Cable'!P44," X ",'HT Cable'!Q44)</f>
        <v>3C X 240</v>
      </c>
      <c r="J37" s="50">
        <f>'HT Cable'!AL44</f>
        <v>490</v>
      </c>
    </row>
    <row r="38" spans="9:10">
      <c r="I38" s="49" t="str">
        <f>_xlfn.CONCAT('HT Cable'!P45," X ",'HT Cable'!Q45)</f>
        <v>3C X 240</v>
      </c>
      <c r="J38" s="50">
        <f>'HT Cable'!AL45</f>
        <v>490</v>
      </c>
    </row>
    <row r="39" spans="9:10">
      <c r="I39" s="49" t="str">
        <f>_xlfn.CONCAT('HT Cable'!P46," X ",'HT Cable'!Q46)</f>
        <v>3C X 240</v>
      </c>
      <c r="J39" s="50">
        <f>'HT Cable'!AL46</f>
        <v>490</v>
      </c>
    </row>
    <row r="40" spans="9:10">
      <c r="I40" s="49" t="str">
        <f>_xlfn.CONCAT('HT Cable'!P47," X ",'HT Cable'!Q47)</f>
        <v>3C X 240</v>
      </c>
      <c r="J40" s="50">
        <f>'HT Cable'!AL47</f>
        <v>490</v>
      </c>
    </row>
    <row r="41" spans="9:10">
      <c r="I41" s="49" t="str">
        <f>_xlfn.CONCAT('HT Cable'!P48," X ",'HT Cable'!Q48)</f>
        <v>3C X 240</v>
      </c>
      <c r="J41" s="50">
        <f>'HT Cable'!AL48</f>
        <v>1100</v>
      </c>
    </row>
    <row r="42" spans="9:10">
      <c r="I42" s="49" t="str">
        <f>_xlfn.CONCAT('HT Cable'!P49," X ",'HT Cable'!Q49)</f>
        <v>1C X 400</v>
      </c>
      <c r="J42" s="50">
        <f>'HT Cable'!AL49</f>
        <v>1080</v>
      </c>
    </row>
    <row r="43" spans="9:10">
      <c r="I43" s="49" t="str">
        <f>_xlfn.CONCAT('HT Cable'!P50," X ",'HT Cable'!Q50)</f>
        <v xml:space="preserve"> X </v>
      </c>
      <c r="J43" s="50">
        <f>'HT Cable'!AL50</f>
        <v>0</v>
      </c>
    </row>
    <row r="44" spans="9:10">
      <c r="I44" s="49" t="str">
        <f>_xlfn.CONCAT('HT Cable'!P51," X ",'HT Cable'!Q51)</f>
        <v xml:space="preserve"> X </v>
      </c>
      <c r="J44" s="50">
        <f>'HT Cable'!AL51</f>
        <v>0</v>
      </c>
    </row>
    <row r="45" spans="9:10">
      <c r="I45" s="49" t="str">
        <f>_xlfn.CONCAT('HT Cable'!P52," X ",'HT Cable'!Q52)</f>
        <v>3C X 240</v>
      </c>
      <c r="J45" s="50">
        <f>'HT Cable'!AL52</f>
        <v>475</v>
      </c>
    </row>
    <row r="46" spans="9:10">
      <c r="I46" s="49" t="str">
        <f>_xlfn.CONCAT('HT Cable'!P53," X ",'HT Cable'!Q53)</f>
        <v>3C X 300</v>
      </c>
      <c r="J46" s="50">
        <f>'HT Cable'!AL53</f>
        <v>500</v>
      </c>
    </row>
    <row r="47" spans="9:10">
      <c r="I47" s="49" t="str">
        <f>_xlfn.CONCAT('HT Cable'!P54," X ",'HT Cable'!Q54)</f>
        <v>1C X 300</v>
      </c>
      <c r="J47" s="50">
        <f>'HT Cable'!AL54</f>
        <v>4500</v>
      </c>
    </row>
    <row r="48" spans="9:10">
      <c r="I48" s="49" t="str">
        <f>_xlfn.CONCAT('HT Cable'!P55," X ",'HT Cable'!Q55)</f>
        <v>1C X 400</v>
      </c>
      <c r="J48" s="50">
        <f>'HT Cable'!AL55</f>
        <v>2460</v>
      </c>
    </row>
    <row r="49" spans="9:10">
      <c r="I49" s="49" t="str">
        <f>_xlfn.CONCAT('HT Cable'!P57," X ",'HT Cable'!Q57)</f>
        <v>3C X 240</v>
      </c>
      <c r="J49" s="50">
        <f>'HT Cable'!AL57</f>
        <v>470</v>
      </c>
    </row>
    <row r="50" spans="9:10">
      <c r="I50" s="49" t="str">
        <f>_xlfn.CONCAT('HT Cable'!P58," X ",'HT Cable'!Q58)</f>
        <v>3C X 240</v>
      </c>
      <c r="J50" s="50">
        <f>'HT Cable'!AL58</f>
        <v>490</v>
      </c>
    </row>
    <row r="51" spans="9:10">
      <c r="I51" s="49" t="str">
        <f>_xlfn.CONCAT('HT Cable'!P59," X ",'HT Cable'!Q59)</f>
        <v>3C X 240</v>
      </c>
      <c r="J51" s="50">
        <f>'HT Cable'!AL59</f>
        <v>490</v>
      </c>
    </row>
    <row r="52" spans="9:10">
      <c r="I52" s="49" t="str">
        <f>_xlfn.CONCAT('HT Cable'!P60," X ",'HT Cable'!Q60)</f>
        <v>3C X 240</v>
      </c>
      <c r="J52" s="50">
        <f>'HT Cable'!AL60</f>
        <v>490</v>
      </c>
    </row>
    <row r="53" spans="9:10">
      <c r="I53" s="49" t="str">
        <f>_xlfn.CONCAT('HT Cable'!P61," X ",'HT Cable'!Q61)</f>
        <v>3C X 240</v>
      </c>
      <c r="J53" s="50">
        <f>'HT Cable'!AL61</f>
        <v>490</v>
      </c>
    </row>
    <row r="54" spans="9:10">
      <c r="I54" s="49" t="str">
        <f>_xlfn.CONCAT('HT Cable'!P62," X ",'HT Cable'!Q62)</f>
        <v>3C X 240</v>
      </c>
      <c r="J54" s="50">
        <f>'HT Cable'!AL62</f>
        <v>1100</v>
      </c>
    </row>
    <row r="55" spans="9:10">
      <c r="I55" s="49" t="str">
        <f>_xlfn.CONCAT('HT Cable'!P63," X ",'HT Cable'!Q63)</f>
        <v>1C X 400</v>
      </c>
      <c r="J55" s="50">
        <f>'HT Cable'!AL63</f>
        <v>1080</v>
      </c>
    </row>
    <row r="56" spans="9:10">
      <c r="I56" s="49" t="str">
        <f>_xlfn.CONCAT('HT Cable'!P64," X ",'HT Cable'!Q64)</f>
        <v xml:space="preserve"> X </v>
      </c>
      <c r="J56" s="50">
        <f>'HT Cable'!AL64</f>
        <v>13015</v>
      </c>
    </row>
    <row r="57" spans="9:10">
      <c r="I57" s="49" t="str">
        <f>_xlfn.CONCAT('HT Cable'!P65," X ",'HT Cable'!Q65)</f>
        <v xml:space="preserve"> X </v>
      </c>
      <c r="J57" s="50">
        <f>'HT Cable'!AL65</f>
        <v>0</v>
      </c>
    </row>
    <row r="58" spans="9:10">
      <c r="I58" s="49" t="str">
        <f>_xlfn.CONCAT('HT Cable'!P66," X ",'HT Cable'!Q66)</f>
        <v>1C X 300</v>
      </c>
      <c r="J58" s="50">
        <f>'HT Cable'!AL66</f>
        <v>4500</v>
      </c>
    </row>
    <row r="59" spans="9:10">
      <c r="I59" s="49" t="str">
        <f>_xlfn.CONCAT('HT Cable'!P67," X ",'HT Cable'!Q67)</f>
        <v>3C X 240</v>
      </c>
      <c r="J59" s="50">
        <f>'HT Cable'!AL67</f>
        <v>150</v>
      </c>
    </row>
    <row r="60" spans="9:10">
      <c r="I60" s="49" t="str">
        <f>_xlfn.CONCAT('HT Cable'!P68," X ",'HT Cable'!Q68)</f>
        <v>3C X 240</v>
      </c>
      <c r="J60" s="50">
        <f>'HT Cable'!AL68</f>
        <v>2000</v>
      </c>
    </row>
    <row r="61" spans="9:10">
      <c r="I61" s="49" t="str">
        <f>_xlfn.CONCAT('HT Cable'!P69," X ",'HT Cable'!Q69)</f>
        <v>3C X 240</v>
      </c>
      <c r="J61" s="50">
        <f>'HT Cable'!AL69</f>
        <v>150</v>
      </c>
    </row>
    <row r="62" spans="9:10">
      <c r="I62" s="49" t="str">
        <f>_xlfn.CONCAT('HT Cable'!P70," X ",'HT Cable'!Q70)</f>
        <v>3C X 240</v>
      </c>
      <c r="J62" s="50">
        <f>'HT Cable'!AL70</f>
        <v>400</v>
      </c>
    </row>
    <row r="63" spans="9:10">
      <c r="I63" s="49" t="str">
        <f>_xlfn.CONCAT('HT Cable'!P71," X ",'HT Cable'!Q71)</f>
        <v>3C X 240</v>
      </c>
      <c r="J63" s="50">
        <f>'HT Cable'!AL71</f>
        <v>200</v>
      </c>
    </row>
    <row r="64" spans="9:10">
      <c r="I64" s="49" t="str">
        <f>_xlfn.CONCAT('HT Cable'!P72," X ",'HT Cable'!Q72)</f>
        <v>3C X 240</v>
      </c>
      <c r="J64" s="50">
        <f>'HT Cable'!AL72</f>
        <v>250</v>
      </c>
    </row>
    <row r="65" spans="9:10">
      <c r="I65" s="49" t="str">
        <f>_xlfn.CONCAT('HT Cable'!P73," X ",'HT Cable'!Q73)</f>
        <v>3C X 240</v>
      </c>
      <c r="J65" s="50">
        <f>'HT Cable'!AL73</f>
        <v>535</v>
      </c>
    </row>
    <row r="66" spans="9:10">
      <c r="I66" s="49" t="str">
        <f>_xlfn.CONCAT('HT Cable'!P74," X ",'HT Cable'!Q74)</f>
        <v>3C X 240</v>
      </c>
      <c r="J66" s="50">
        <f>'HT Cable'!AL74</f>
        <v>1000</v>
      </c>
    </row>
    <row r="67" spans="9:10">
      <c r="I67" s="49" t="str">
        <f>_xlfn.CONCAT('HT Cable'!P75," X ",'HT Cable'!Q75)</f>
        <v>3C X 240</v>
      </c>
      <c r="J67" s="50">
        <f>'HT Cable'!AL75</f>
        <v>650</v>
      </c>
    </row>
    <row r="68" spans="9:10">
      <c r="I68" s="49" t="str">
        <f>_xlfn.CONCAT('HT Cable'!P76," X ",'HT Cable'!Q76)</f>
        <v>1C X 400</v>
      </c>
      <c r="J68" s="50">
        <f>'HT Cable'!AL76</f>
        <v>3600</v>
      </c>
    </row>
    <row r="69" spans="9:10">
      <c r="I69" s="49" t="str">
        <f>_xlfn.CONCAT('HT Cable'!P77," X ",'HT Cable'!Q77)</f>
        <v>1C X 400</v>
      </c>
      <c r="J69" s="50">
        <f>'HT Cable'!AL77</f>
        <v>2700</v>
      </c>
    </row>
    <row r="70" spans="9:10">
      <c r="I70" s="49" t="str">
        <f>_xlfn.CONCAT('HT Cable'!P78," X ",'HT Cable'!Q78)</f>
        <v>1C X 400</v>
      </c>
      <c r="J70" s="50">
        <f>'HT Cable'!AL78</f>
        <v>7350</v>
      </c>
    </row>
    <row r="71" spans="9:10">
      <c r="I71" s="49" t="str">
        <f>_xlfn.CONCAT('HT Cable'!P81," X ",'HT Cable'!Q81)</f>
        <v xml:space="preserve"> X </v>
      </c>
      <c r="J71" s="50">
        <f>'HT Cable'!AL81</f>
        <v>0</v>
      </c>
    </row>
    <row r="72" spans="9:10">
      <c r="I72" s="49" t="str">
        <f>_xlfn.CONCAT('HT Cable'!P82," X ",'HT Cable'!Q82)</f>
        <v xml:space="preserve"> X </v>
      </c>
      <c r="J72" s="50">
        <f>'HT Cable'!AL82</f>
        <v>0</v>
      </c>
    </row>
    <row r="73" spans="9:10">
      <c r="I73" s="49" t="str">
        <f>_xlfn.CONCAT('HT Cable'!P83," X ",'HT Cable'!Q83)</f>
        <v>3C X 240</v>
      </c>
      <c r="J73" s="50">
        <f>'HT Cable'!AL83</f>
        <v>150</v>
      </c>
    </row>
    <row r="74" spans="9:10">
      <c r="I74" s="49" t="str">
        <f>_xlfn.CONCAT('HT Cable'!P85," X ",'HT Cable'!Q85)</f>
        <v>3C X 240</v>
      </c>
      <c r="J74" s="50">
        <f>'HT Cable'!AL85</f>
        <v>400</v>
      </c>
    </row>
    <row r="75" spans="9:10">
      <c r="I75" s="49" t="str">
        <f>_xlfn.CONCAT('HT Cable'!P86," X ",'HT Cable'!Q86)</f>
        <v>3C X 240</v>
      </c>
      <c r="J75" s="50">
        <f>'HT Cable'!AL86</f>
        <v>200</v>
      </c>
    </row>
    <row r="76" spans="9:10">
      <c r="I76" s="49" t="str">
        <f>_xlfn.CONCAT('HT Cable'!P87," X ",'HT Cable'!Q87)</f>
        <v>3C X 240</v>
      </c>
      <c r="J76" s="50">
        <f>'HT Cable'!AL87</f>
        <v>250</v>
      </c>
    </row>
    <row r="77" spans="9:10">
      <c r="I77" s="49" t="str">
        <f>_xlfn.CONCAT('HT Cable'!P88," X ",'HT Cable'!Q88)</f>
        <v>3C X 240</v>
      </c>
      <c r="J77" s="50">
        <f>'HT Cable'!AL88</f>
        <v>535</v>
      </c>
    </row>
    <row r="78" spans="9:10">
      <c r="I78" s="49" t="str">
        <f>_xlfn.CONCAT('HT Cable'!P89," X ",'HT Cable'!Q89)</f>
        <v>3C X 240</v>
      </c>
      <c r="J78" s="50">
        <f>'HT Cable'!AL89</f>
        <v>1000</v>
      </c>
    </row>
    <row r="79" spans="9:10">
      <c r="I79" s="49" t="str">
        <f>_xlfn.CONCAT('HT Cable'!P90," X ",'HT Cable'!Q90)</f>
        <v>3C X 240</v>
      </c>
      <c r="J79" s="50">
        <f>'HT Cable'!AL90</f>
        <v>650</v>
      </c>
    </row>
    <row r="80" spans="9:10">
      <c r="I80" s="49" t="str">
        <f>_xlfn.CONCAT('HT Cable'!P91," X ",'HT Cable'!Q91)</f>
        <v>3C X 240</v>
      </c>
      <c r="J80" s="50">
        <f>'HT Cable'!AL91</f>
        <v>150</v>
      </c>
    </row>
    <row r="81" spans="9:10">
      <c r="I81" s="49" t="str">
        <f>_xlfn.CONCAT('HT Cable'!P92," X ",'HT Cable'!Q92)</f>
        <v>1C X 400</v>
      </c>
      <c r="J81" s="50">
        <f>'HT Cable'!AL92</f>
        <v>3600</v>
      </c>
    </row>
    <row r="82" spans="9:10">
      <c r="I82" s="49" t="str">
        <f>_xlfn.CONCAT('HT Cable'!P93," X ",'HT Cable'!Q93)</f>
        <v>1C X 400</v>
      </c>
      <c r="J82" s="50">
        <f>'HT Cable'!AL93</f>
        <v>2700</v>
      </c>
    </row>
    <row r="83" spans="9:10">
      <c r="I83" s="49" t="str">
        <f>_xlfn.CONCAT('HT Cable'!P94," X ",'HT Cable'!Q94)</f>
        <v>1C X 400</v>
      </c>
      <c r="J83" s="50">
        <f>'HT Cable'!AL94</f>
        <v>4410</v>
      </c>
    </row>
    <row r="84" spans="9:10">
      <c r="I84" s="49" t="str">
        <f>_xlfn.CONCAT('HT Cable'!P95," X ",'HT Cable'!Q95)</f>
        <v>3C X 240</v>
      </c>
      <c r="J84" s="50">
        <f>'HT Cable'!AL95</f>
        <v>2000</v>
      </c>
    </row>
    <row r="85" spans="9:10">
      <c r="I85" s="49" t="str">
        <f>_xlfn.CONCAT('HT Cable'!P96," X ",'HT Cable'!Q96)</f>
        <v>1C X 400</v>
      </c>
      <c r="J85" s="50">
        <f>'HT Cable'!AL96</f>
        <v>12000</v>
      </c>
    </row>
    <row r="86" spans="9:10">
      <c r="I86" s="49" t="str">
        <f>_xlfn.CONCAT('HT Cable'!P97," X ",'HT Cable'!Q97)</f>
        <v xml:space="preserve"> X </v>
      </c>
      <c r="J86" s="50">
        <f>'HT Cable'!AL97</f>
        <v>0</v>
      </c>
    </row>
    <row r="87" spans="9:10">
      <c r="I87" s="49" t="str">
        <f>_xlfn.CONCAT('HT Cable'!P98," X ",'HT Cable'!Q98)</f>
        <v xml:space="preserve"> X </v>
      </c>
      <c r="J87" s="50">
        <f>'HT Cable'!AL98</f>
        <v>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X31"/>
  <sheetViews>
    <sheetView view="pageBreakPreview" zoomScale="85" zoomScaleNormal="100" zoomScaleSheetLayoutView="85" workbookViewId="0">
      <selection activeCell="C23" sqref="C23"/>
    </sheetView>
  </sheetViews>
  <sheetFormatPr defaultColWidth="9.140625" defaultRowHeight="15"/>
  <cols>
    <col min="1" max="1" width="9.140625" style="8"/>
    <col min="2" max="2" width="9.85546875" style="2" customWidth="1"/>
    <col min="3" max="5" width="12.42578125" style="2" customWidth="1"/>
    <col min="6" max="6" width="11.42578125" style="2" customWidth="1"/>
    <col min="7" max="7" width="13" style="2" customWidth="1"/>
    <col min="8" max="8" width="16.85546875" style="2" customWidth="1"/>
    <col min="9" max="9" width="11.42578125" style="2" customWidth="1"/>
    <col min="10" max="12" width="11.140625" style="8" customWidth="1"/>
    <col min="13" max="14" width="12.85546875" style="2" customWidth="1"/>
    <col min="15" max="15" width="16.140625" style="2" customWidth="1"/>
    <col min="16" max="16" width="12.85546875" style="8" customWidth="1"/>
    <col min="17" max="17" width="17.28515625" style="8" customWidth="1"/>
    <col min="18" max="18" width="19.5703125" style="8" customWidth="1"/>
    <col min="19" max="19" width="18.85546875" style="8" customWidth="1"/>
    <col min="20" max="20" width="17.42578125" style="8" customWidth="1"/>
    <col min="21" max="21" width="15.85546875" style="8" customWidth="1"/>
    <col min="22" max="22" width="14.140625" style="8" customWidth="1"/>
    <col min="23" max="23" width="17.140625" style="8" customWidth="1"/>
    <col min="24" max="24" width="11.5703125" style="8" customWidth="1"/>
    <col min="25" max="16384" width="9.140625" style="8"/>
  </cols>
  <sheetData>
    <row r="1" spans="2:24" ht="20.100000000000001" customHeight="1"/>
    <row r="2" spans="2:24" ht="20.100000000000001" customHeight="1">
      <c r="B2" s="2" t="s">
        <v>139</v>
      </c>
    </row>
    <row r="3" spans="2:24" ht="20.100000000000001" customHeight="1">
      <c r="B3" s="25" t="s">
        <v>53</v>
      </c>
      <c r="E3" s="26"/>
      <c r="F3" s="167" t="s">
        <v>140</v>
      </c>
      <c r="G3" s="167"/>
      <c r="H3" s="26"/>
      <c r="I3" s="25" t="s">
        <v>54</v>
      </c>
      <c r="M3" s="167" t="s">
        <v>140</v>
      </c>
      <c r="N3" s="167"/>
      <c r="O3" s="27"/>
    </row>
    <row r="4" spans="2:24" ht="23.25" customHeight="1">
      <c r="C4" s="26"/>
    </row>
    <row r="5" spans="2:24" ht="30">
      <c r="B5" s="168" t="s">
        <v>82</v>
      </c>
      <c r="C5" s="168" t="s">
        <v>49</v>
      </c>
      <c r="D5" s="168"/>
      <c r="E5" s="168"/>
      <c r="F5" s="11" t="s">
        <v>50</v>
      </c>
      <c r="G5" s="168" t="s">
        <v>51</v>
      </c>
      <c r="H5" s="168" t="s">
        <v>72</v>
      </c>
      <c r="I5" s="168" t="s">
        <v>82</v>
      </c>
      <c r="J5" s="168" t="s">
        <v>49</v>
      </c>
      <c r="K5" s="168"/>
      <c r="L5" s="168"/>
      <c r="M5" s="168" t="s">
        <v>50</v>
      </c>
      <c r="N5" s="168" t="s">
        <v>51</v>
      </c>
      <c r="O5" s="168" t="s">
        <v>72</v>
      </c>
      <c r="P5" s="1" t="s">
        <v>48</v>
      </c>
      <c r="Q5" s="169" t="s">
        <v>90</v>
      </c>
      <c r="R5" s="171" t="s">
        <v>75</v>
      </c>
      <c r="S5" s="172"/>
      <c r="T5" s="169" t="s">
        <v>85</v>
      </c>
      <c r="U5" s="165" t="s">
        <v>86</v>
      </c>
      <c r="V5" s="166"/>
      <c r="W5" s="165" t="s">
        <v>76</v>
      </c>
      <c r="X5" s="166"/>
    </row>
    <row r="6" spans="2:24" ht="30" customHeight="1">
      <c r="B6" s="168"/>
      <c r="C6" s="11" t="s">
        <v>18</v>
      </c>
      <c r="D6" s="11" t="s">
        <v>52</v>
      </c>
      <c r="E6" s="11" t="s">
        <v>55</v>
      </c>
      <c r="F6" s="11"/>
      <c r="G6" s="168"/>
      <c r="H6" s="168"/>
      <c r="I6" s="168"/>
      <c r="J6" s="11" t="s">
        <v>18</v>
      </c>
      <c r="K6" s="11" t="s">
        <v>52</v>
      </c>
      <c r="L6" s="11" t="s">
        <v>55</v>
      </c>
      <c r="M6" s="168"/>
      <c r="N6" s="168"/>
      <c r="O6" s="168"/>
      <c r="P6" s="1"/>
      <c r="Q6" s="170"/>
      <c r="R6" s="11" t="s">
        <v>41</v>
      </c>
      <c r="S6" s="11" t="s">
        <v>42</v>
      </c>
      <c r="T6" s="170"/>
      <c r="U6" s="11" t="s">
        <v>41</v>
      </c>
      <c r="V6" s="11" t="s">
        <v>42</v>
      </c>
      <c r="W6" s="11" t="s">
        <v>41</v>
      </c>
      <c r="X6" s="11" t="s">
        <v>42</v>
      </c>
    </row>
    <row r="7" spans="2:24" ht="24.75" customHeight="1">
      <c r="B7" s="43" t="s">
        <v>60</v>
      </c>
      <c r="C7" s="11">
        <v>256</v>
      </c>
      <c r="D7" s="11">
        <v>216</v>
      </c>
      <c r="E7" s="11">
        <v>188</v>
      </c>
      <c r="F7" s="28">
        <v>0.32500000000000001</v>
      </c>
      <c r="G7" s="28">
        <v>9.7000000000000003E-2</v>
      </c>
      <c r="H7" s="1">
        <v>55</v>
      </c>
      <c r="I7" s="44" t="s">
        <v>77</v>
      </c>
      <c r="J7" s="11">
        <v>335</v>
      </c>
      <c r="K7" s="1">
        <v>255</v>
      </c>
      <c r="L7" s="11">
        <v>215</v>
      </c>
      <c r="M7" s="28">
        <v>0.26479999999999998</v>
      </c>
      <c r="N7" s="28">
        <v>0.10580000000000001</v>
      </c>
      <c r="O7" s="11">
        <v>30</v>
      </c>
      <c r="P7" s="16" t="s">
        <v>66</v>
      </c>
      <c r="Q7" s="1">
        <v>0.89</v>
      </c>
      <c r="R7" s="34">
        <v>0.78</v>
      </c>
      <c r="S7" s="3">
        <v>0.73</v>
      </c>
      <c r="T7" s="1"/>
      <c r="U7" s="3"/>
      <c r="V7" s="3"/>
      <c r="W7" s="1"/>
      <c r="X7" s="1"/>
    </row>
    <row r="8" spans="2:24" ht="26.25" customHeight="1">
      <c r="B8" s="43" t="s">
        <v>61</v>
      </c>
      <c r="C8" s="11">
        <v>288</v>
      </c>
      <c r="D8" s="11">
        <v>242</v>
      </c>
      <c r="E8" s="11">
        <v>209</v>
      </c>
      <c r="F8" s="28">
        <v>0.26500000000000001</v>
      </c>
      <c r="G8" s="28">
        <v>9.4E-2</v>
      </c>
      <c r="H8" s="1">
        <v>58</v>
      </c>
      <c r="I8" s="1" t="s">
        <v>78</v>
      </c>
      <c r="J8" s="11">
        <v>384</v>
      </c>
      <c r="K8" s="1">
        <v>284</v>
      </c>
      <c r="L8" s="11">
        <v>238</v>
      </c>
      <c r="M8" s="28">
        <v>0.2112</v>
      </c>
      <c r="N8" s="28">
        <v>0.1</v>
      </c>
      <c r="O8" s="11">
        <v>33</v>
      </c>
      <c r="P8" s="16" t="s">
        <v>55</v>
      </c>
      <c r="Q8" s="1"/>
      <c r="R8" s="3">
        <v>0.75</v>
      </c>
      <c r="S8" s="3">
        <v>0.8</v>
      </c>
      <c r="T8" s="3">
        <v>1</v>
      </c>
      <c r="U8" s="3">
        <v>0.94</v>
      </c>
      <c r="V8" s="3">
        <v>0.96</v>
      </c>
      <c r="W8" s="3">
        <v>1</v>
      </c>
      <c r="X8" s="3">
        <v>1</v>
      </c>
    </row>
    <row r="9" spans="2:24" ht="20.100000000000001" customHeight="1">
      <c r="B9" s="11" t="s">
        <v>70</v>
      </c>
      <c r="C9" s="11">
        <v>330</v>
      </c>
      <c r="D9" s="11">
        <v>273</v>
      </c>
      <c r="E9" s="11">
        <v>240</v>
      </c>
      <c r="F9" s="28">
        <v>0.21099999999999999</v>
      </c>
      <c r="G9" s="28">
        <v>9.0999999999999998E-2</v>
      </c>
      <c r="H9" s="1">
        <v>61</v>
      </c>
      <c r="I9" s="1" t="s">
        <v>79</v>
      </c>
      <c r="J9" s="11">
        <v>446</v>
      </c>
      <c r="K9" s="1">
        <v>323</v>
      </c>
      <c r="L9" s="11">
        <v>270</v>
      </c>
      <c r="M9" s="28">
        <v>0.1615</v>
      </c>
      <c r="N9" s="28">
        <v>9.8000000000000004E-2</v>
      </c>
      <c r="O9" s="11">
        <v>35</v>
      </c>
      <c r="P9" s="16" t="s">
        <v>52</v>
      </c>
      <c r="Q9" s="1"/>
      <c r="R9" s="4">
        <v>0.73</v>
      </c>
      <c r="S9" s="4">
        <v>0.77</v>
      </c>
      <c r="T9" s="3">
        <v>1</v>
      </c>
      <c r="U9" s="3">
        <v>0.94</v>
      </c>
      <c r="V9" s="3">
        <v>0.95</v>
      </c>
      <c r="W9" s="3">
        <v>1</v>
      </c>
      <c r="X9" s="3">
        <v>1</v>
      </c>
    </row>
    <row r="10" spans="2:24" ht="20.100000000000001" customHeight="1">
      <c r="B10" s="1" t="s">
        <v>74</v>
      </c>
      <c r="C10" s="11">
        <v>387</v>
      </c>
      <c r="D10" s="1">
        <v>315</v>
      </c>
      <c r="E10" s="11">
        <v>278</v>
      </c>
      <c r="F10" s="28">
        <v>0.16200000000000001</v>
      </c>
      <c r="G10" s="28">
        <v>8.7999999999999995E-2</v>
      </c>
      <c r="H10" s="1">
        <v>67</v>
      </c>
      <c r="I10" s="1" t="s">
        <v>59</v>
      </c>
      <c r="J10" s="11">
        <v>503</v>
      </c>
      <c r="K10" s="1">
        <v>357</v>
      </c>
      <c r="L10" s="11">
        <v>297</v>
      </c>
      <c r="M10" s="28">
        <v>0.12970000000000001</v>
      </c>
      <c r="N10" s="28">
        <v>9.74E-2</v>
      </c>
      <c r="O10" s="11">
        <v>37</v>
      </c>
    </row>
    <row r="11" spans="2:24" ht="22.5" customHeight="1">
      <c r="B11" s="1" t="s">
        <v>83</v>
      </c>
      <c r="C11" s="11">
        <v>441</v>
      </c>
      <c r="D11" s="1">
        <v>354</v>
      </c>
      <c r="E11" s="11">
        <v>312</v>
      </c>
      <c r="F11" s="28">
        <v>0.13</v>
      </c>
      <c r="G11" s="28">
        <v>8.5999999999999993E-2</v>
      </c>
      <c r="H11" s="1">
        <v>71</v>
      </c>
      <c r="I11" s="1" t="s">
        <v>58</v>
      </c>
      <c r="J11" s="11">
        <v>575</v>
      </c>
      <c r="K11" s="1">
        <v>397</v>
      </c>
      <c r="L11" s="11">
        <v>329</v>
      </c>
      <c r="M11" s="17">
        <v>0.1018</v>
      </c>
      <c r="N11" s="28">
        <v>9.3700000000000006E-2</v>
      </c>
      <c r="O11" s="11">
        <v>40</v>
      </c>
      <c r="P11" s="12"/>
      <c r="Q11" s="7"/>
      <c r="R11" s="9"/>
      <c r="S11" s="9"/>
      <c r="T11" s="9"/>
      <c r="U11" s="9"/>
      <c r="V11" s="9"/>
      <c r="W11" s="9"/>
      <c r="X11" s="9"/>
    </row>
    <row r="12" spans="2:24" ht="20.25" customHeight="1">
      <c r="B12" s="1" t="s">
        <v>84</v>
      </c>
      <c r="C12" s="1">
        <v>512</v>
      </c>
      <c r="D12" s="1">
        <v>404</v>
      </c>
      <c r="E12" s="17">
        <v>356</v>
      </c>
      <c r="F12" s="17">
        <v>0.10199999999999999</v>
      </c>
      <c r="G12" s="17">
        <v>8.2000000000000003E-2</v>
      </c>
      <c r="H12" s="11">
        <v>76</v>
      </c>
      <c r="I12" s="1" t="s">
        <v>64</v>
      </c>
      <c r="J12" s="11">
        <v>647</v>
      </c>
      <c r="K12" s="1">
        <v>436</v>
      </c>
      <c r="L12" s="11">
        <v>360</v>
      </c>
      <c r="M12" s="28">
        <v>8.0199999999999994E-2</v>
      </c>
      <c r="N12" s="28">
        <v>9.1800000000000007E-2</v>
      </c>
      <c r="O12" s="1">
        <v>43</v>
      </c>
      <c r="P12" s="12"/>
      <c r="Q12" s="7"/>
      <c r="R12" s="7"/>
      <c r="T12" s="9"/>
      <c r="U12" s="7"/>
      <c r="V12" s="7"/>
      <c r="W12" s="9"/>
      <c r="X12" s="9"/>
    </row>
    <row r="13" spans="2:24" ht="20.25" customHeight="1">
      <c r="B13" s="7"/>
      <c r="C13" s="7"/>
      <c r="D13" s="7"/>
      <c r="E13" s="7"/>
      <c r="F13" s="7"/>
      <c r="G13" s="7"/>
      <c r="I13" s="1" t="s">
        <v>65</v>
      </c>
      <c r="J13" s="11">
        <v>725</v>
      </c>
      <c r="K13" s="1">
        <v>476</v>
      </c>
      <c r="L13" s="11">
        <v>390</v>
      </c>
      <c r="M13" s="28">
        <v>6.3600000000000004E-2</v>
      </c>
      <c r="N13" s="28">
        <v>9.01E-2</v>
      </c>
      <c r="O13" s="11">
        <v>47</v>
      </c>
      <c r="P13" s="12"/>
      <c r="Q13" s="2"/>
      <c r="T13" s="2"/>
      <c r="U13" s="10"/>
      <c r="V13" s="10"/>
      <c r="W13" s="2"/>
      <c r="X13" s="2"/>
    </row>
    <row r="14" spans="2:24">
      <c r="E14" s="7"/>
      <c r="F14" s="7"/>
      <c r="G14" s="7"/>
      <c r="H14" s="7"/>
      <c r="I14" s="7"/>
    </row>
    <row r="15" spans="2:24">
      <c r="E15" s="7"/>
      <c r="F15" s="7"/>
      <c r="G15" s="7"/>
      <c r="H15" s="12"/>
      <c r="I15" s="7"/>
      <c r="J15" s="29"/>
      <c r="K15" s="2"/>
      <c r="L15" s="29"/>
      <c r="Q15" s="2"/>
    </row>
    <row r="16" spans="2:24">
      <c r="E16" s="7"/>
      <c r="F16" s="7"/>
      <c r="G16" s="7"/>
      <c r="H16" s="7"/>
      <c r="I16" s="7"/>
      <c r="J16" s="15"/>
      <c r="K16" s="15"/>
      <c r="L16" s="15"/>
      <c r="M16" s="15"/>
      <c r="N16" s="15"/>
      <c r="Q16" s="2"/>
    </row>
    <row r="17" spans="5:15">
      <c r="E17" s="7"/>
      <c r="F17" s="7"/>
      <c r="G17" s="7"/>
      <c r="H17" s="7"/>
      <c r="I17" s="7"/>
      <c r="J17" s="15"/>
      <c r="K17" s="15"/>
      <c r="L17" s="15"/>
      <c r="M17" s="15"/>
      <c r="N17" s="15"/>
    </row>
    <row r="18" spans="5:15">
      <c r="E18" s="7"/>
      <c r="F18" s="7"/>
      <c r="G18" s="7"/>
      <c r="H18" s="7"/>
      <c r="I18" s="7"/>
      <c r="J18" s="15"/>
      <c r="K18" s="15"/>
      <c r="L18" s="15"/>
      <c r="M18" s="15"/>
      <c r="N18" s="15"/>
    </row>
    <row r="19" spans="5:15">
      <c r="E19" s="7"/>
      <c r="F19" s="7"/>
      <c r="G19" s="7"/>
      <c r="H19" s="7"/>
      <c r="I19" s="7"/>
      <c r="J19" s="15"/>
      <c r="K19" s="15"/>
      <c r="L19" s="15"/>
      <c r="M19" s="15"/>
      <c r="N19" s="15"/>
    </row>
    <row r="20" spans="5:15">
      <c r="E20" s="7"/>
      <c r="F20" s="7"/>
      <c r="G20" s="7"/>
      <c r="H20" s="7"/>
      <c r="I20" s="7"/>
      <c r="J20" s="15"/>
      <c r="K20" s="15"/>
      <c r="L20" s="15"/>
      <c r="M20" s="15"/>
      <c r="N20" s="15"/>
    </row>
    <row r="21" spans="5:15">
      <c r="E21" s="7"/>
      <c r="F21" s="7"/>
      <c r="G21" s="7"/>
      <c r="H21" s="7"/>
      <c r="I21" s="7"/>
    </row>
    <row r="22" spans="5:15">
      <c r="E22" s="7"/>
      <c r="F22" s="7"/>
      <c r="G22" s="7"/>
      <c r="H22" s="7"/>
      <c r="I22" s="7"/>
      <c r="L22" s="6"/>
      <c r="N22" s="6"/>
      <c r="O22" s="6"/>
    </row>
    <row r="23" spans="5:15">
      <c r="E23" s="7"/>
      <c r="F23" s="7"/>
      <c r="G23" s="7"/>
      <c r="H23" s="7"/>
      <c r="I23" s="7"/>
      <c r="N23" s="6"/>
    </row>
    <row r="24" spans="5:15">
      <c r="E24" s="7"/>
      <c r="F24" s="7"/>
      <c r="G24" s="7"/>
      <c r="H24" s="7"/>
      <c r="I24" s="7"/>
    </row>
    <row r="25" spans="5:15">
      <c r="E25" s="7"/>
      <c r="F25" s="7"/>
      <c r="G25" s="7"/>
      <c r="H25" s="7"/>
      <c r="I25" s="7"/>
    </row>
    <row r="26" spans="5:15">
      <c r="E26" s="7"/>
      <c r="F26" s="7"/>
      <c r="G26" s="7"/>
      <c r="H26" s="7"/>
      <c r="I26" s="7"/>
    </row>
    <row r="27" spans="5:15">
      <c r="E27" s="7"/>
      <c r="F27" s="7"/>
      <c r="G27" s="7"/>
      <c r="H27" s="7"/>
      <c r="I27" s="7"/>
    </row>
    <row r="28" spans="5:15">
      <c r="E28" s="7"/>
      <c r="F28" s="7"/>
      <c r="G28" s="7"/>
      <c r="H28" s="7"/>
      <c r="I28" s="7"/>
    </row>
    <row r="29" spans="5:15">
      <c r="E29" s="7"/>
      <c r="F29" s="7"/>
      <c r="G29" s="7"/>
      <c r="H29" s="7"/>
      <c r="I29" s="7"/>
    </row>
    <row r="30" spans="5:15">
      <c r="E30" s="7"/>
      <c r="F30" s="7"/>
      <c r="G30" s="7"/>
      <c r="H30" s="7"/>
      <c r="I30" s="7"/>
    </row>
    <row r="31" spans="5:15">
      <c r="E31" s="7"/>
      <c r="F31" s="7"/>
      <c r="G31" s="7"/>
      <c r="H31" s="7"/>
      <c r="I31" s="7"/>
    </row>
  </sheetData>
  <mergeCells count="16">
    <mergeCell ref="B5:B6"/>
    <mergeCell ref="G5:G6"/>
    <mergeCell ref="N5:N6"/>
    <mergeCell ref="R5:S5"/>
    <mergeCell ref="M5:M6"/>
    <mergeCell ref="Q5:Q6"/>
    <mergeCell ref="H5:H6"/>
    <mergeCell ref="O5:O6"/>
    <mergeCell ref="U5:V5"/>
    <mergeCell ref="W5:X5"/>
    <mergeCell ref="F3:G3"/>
    <mergeCell ref="C5:E5"/>
    <mergeCell ref="I5:I6"/>
    <mergeCell ref="J5:L5"/>
    <mergeCell ref="M3:N3"/>
    <mergeCell ref="T5:T6"/>
  </mergeCells>
  <pageMargins left="0.7" right="0.7" top="0.75" bottom="0.75" header="0.3" footer="0.3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HT Cable</vt:lpstr>
      <vt:lpstr>BOQ</vt:lpstr>
      <vt:lpstr>Catalogue</vt:lpstr>
      <vt:lpstr>Catalogue!_Toc531015269</vt:lpstr>
      <vt:lpstr>Catalogue!_Toc531015271</vt:lpstr>
      <vt:lpstr>Catalogue!_Toc531015272</vt:lpstr>
      <vt:lpstr>Catalogue!_Toc531015273</vt:lpstr>
      <vt:lpstr>Catalogue!_Toc531015274</vt:lpstr>
      <vt:lpstr>Catalogue!_Toc531015275</vt:lpstr>
      <vt:lpstr>Catalogue!_Toc531015277</vt:lpstr>
      <vt:lpstr>Catalogue!_Toc531015278</vt:lpstr>
      <vt:lpstr>Catalogue!_Toc531015279</vt:lpstr>
      <vt:lpstr>Catalogue!_Toc531015280</vt:lpstr>
      <vt:lpstr>Catalogue!_Toc531015281</vt:lpstr>
      <vt:lpstr>Catalogue!_Toc531015283</vt:lpstr>
      <vt:lpstr>Catalogue!_Toc531015284</vt:lpstr>
      <vt:lpstr>Catalogue!_Toc531015285</vt:lpstr>
      <vt:lpstr>Catalogue!_Toc531015286</vt:lpstr>
      <vt:lpstr>Catalogue!_Toc531015287</vt:lpstr>
      <vt:lpstr>Catalogue!_Toc531015289</vt:lpstr>
      <vt:lpstr>Catalogue!_Toc531015290</vt:lpstr>
      <vt:lpstr>Catalogue!_Toc531015291</vt:lpstr>
      <vt:lpstr>Catalogue!_Toc531015292</vt:lpstr>
      <vt:lpstr>Catalogue!_Toc531015293</vt:lpstr>
      <vt:lpstr>Catalogue!_Toc531015295</vt:lpstr>
      <vt:lpstr>Catalogue!_Toc531015296</vt:lpstr>
      <vt:lpstr>Catalogue!_Toc531015297</vt:lpstr>
      <vt:lpstr>Catalogue!_Toc531015298</vt:lpstr>
      <vt:lpstr>BOQ!Print_Area</vt:lpstr>
      <vt:lpstr>Catalogue!Print_Area</vt:lpstr>
      <vt:lpstr>'HT Cable'!Print_Area</vt:lpstr>
      <vt:lpstr>'HT Cable'!Print_Titles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Pilli Vijaya Bhaskar Reddy</dc:creator>
  <cp:lastModifiedBy>Prakash Kumar</cp:lastModifiedBy>
  <cp:lastPrinted>2025-04-29T09:48:45Z</cp:lastPrinted>
  <dcterms:created xsi:type="dcterms:W3CDTF">1996-10-14T23:33:28Z</dcterms:created>
  <dcterms:modified xsi:type="dcterms:W3CDTF">2025-07-30T06:45:18Z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1ac48-f2ec-47d6-b214-43b916e392ff_Enabled">
    <vt:lpwstr>True</vt:lpwstr>
  </property>
  <property fmtid="{D5CDD505-2E9C-101B-9397-08002B2CF9AE}" pid="3" name="MSIP_Label_3351ac48-f2ec-47d6-b214-43b916e392ff_SiteId">
    <vt:lpwstr>5af76741-f886-4d20-ad04-775dee0ce762</vt:lpwstr>
  </property>
  <property fmtid="{D5CDD505-2E9C-101B-9397-08002B2CF9AE}" pid="4" name="MSIP_Label_3351ac48-f2ec-47d6-b214-43b916e392ff_Owner">
    <vt:lpwstr>balavivekanandanc@tce.co.in</vt:lpwstr>
  </property>
  <property fmtid="{D5CDD505-2E9C-101B-9397-08002B2CF9AE}" pid="5" name="MSIP_Label_3351ac48-f2ec-47d6-b214-43b916e392ff_SetDate">
    <vt:lpwstr>2020-05-16T13:11:45.9349518Z</vt:lpwstr>
  </property>
  <property fmtid="{D5CDD505-2E9C-101B-9397-08002B2CF9AE}" pid="6" name="MSIP_Label_3351ac48-f2ec-47d6-b214-43b916e392ff_Name">
    <vt:lpwstr>Public</vt:lpwstr>
  </property>
  <property fmtid="{D5CDD505-2E9C-101B-9397-08002B2CF9AE}" pid="7" name="MSIP_Label_3351ac48-f2ec-47d6-b214-43b916e392ff_Application">
    <vt:lpwstr>Microsoft Azure Information Protection</vt:lpwstr>
  </property>
  <property fmtid="{D5CDD505-2E9C-101B-9397-08002B2CF9AE}" pid="8" name="MSIP_Label_3351ac48-f2ec-47d6-b214-43b916e392ff_ActionId">
    <vt:lpwstr>8cb57939-395a-408b-acf9-461994ef00f3</vt:lpwstr>
  </property>
  <property fmtid="{D5CDD505-2E9C-101B-9397-08002B2CF9AE}" pid="9" name="MSIP_Label_3351ac48-f2ec-47d6-b214-43b916e392ff_Extended_MSFT_Method">
    <vt:lpwstr>Automatic</vt:lpwstr>
  </property>
  <property fmtid="{D5CDD505-2E9C-101B-9397-08002B2CF9AE}" pid="10" name="Sensitivity">
    <vt:lpwstr>Public</vt:lpwstr>
  </property>
</Properties>
</file>